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820" windowHeight="11220"/>
  </bookViews>
  <sheets>
    <sheet name="BC_data_media_output" sheetId="1" r:id="rId1"/>
  </sheets>
  <definedNames>
    <definedName name="_xlnm._FilterDatabase" localSheetId="0" hidden="1">BC_data_media_output!$A$1:$J$51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<sst xmlns="http://schemas.openxmlformats.org/spreadsheetml/2006/main" count="372" uniqueCount="275">
  <si>
    <t>id</t>
  </si>
  <si>
    <t>caption</t>
  </si>
  <si>
    <t>media_type</t>
  </si>
  <si>
    <t>media_product_type</t>
  </si>
  <si>
    <t>media_url</t>
  </si>
  <si>
    <t>thumbnail_url</t>
  </si>
  <si>
    <t>permalink</t>
  </si>
  <si>
    <t>timestamp</t>
  </si>
  <si>
    <t>like_count</t>
  </si>
  <si>
    <t>comments_count</t>
  </si>
  <si>
    <t>caption_counts</t>
  </si>
  <si>
    <t>date</t>
  </si>
  <si>
    <t>month_posted</t>
  </si>
  <si>
    <t>hour</t>
  </si>
  <si>
    <t>hashtag_counts</t>
  </si>
  <si>
    <t>18096740455801445</t>
  </si>
  <si>
    <t>Clare Vaughan began her career as a teacher in Wales, going on to spend 20 years preserving and promoting the Welsh language in Patagonia, Argentina. We talked to her about the adventure of a lifetime for our latest Voices article: https://www.britishcouncil.org/voices-magazine/20-year-teaching-adventure-patagonia
📸 ©️ Clare Vaughan
Image description: Clare Vaughan pictured with Vincent Evans in Cwm Hyfryd, Trevelin, Patagonia.
#Welsh #Cymraeg #Argentina #Patagonia #BritishCouncil</t>
  </si>
  <si>
    <t>IMAGE</t>
  </si>
  <si>
    <t>FEED</t>
  </si>
  <si>
    <t>https://scontent-ord5-2.cdninstagram.com/v/t51.82787-15/568112597_18536046586062390_5576589936073637573_n.jpg?stp=dst-jpg_e35_tt6&amp;_nc_cat=102&amp;ccb=1-7&amp;_nc_sid=18de74&amp;efg=eyJlZmdfdGFnIjoiRkVFRC5iZXN0X2ltYWdlX3VybGdlbi5DMyJ9&amp;_nc_ohc=hL-lj-ErlsUQ7kNvwHdyhB_&amp;_nc_oc=AdmUQWOXp5PNcjGdF29ah0yKtduBJkrVrTzV9UyG4dtHtsdnVUXAKq7Ci3WMsz5lwts&amp;_nc_zt=23&amp;_nc_ht=scontent-ord5-2.cdninstagram.com&amp;edm=AL-3X8kEAAAA&amp;_nc_gid=iau8cUeaSH21b2kdgG3vgw&amp;oh=00_AfedwIpE9L6sw-oSy8FcQtxbjaGJ5jdpK0q2cjOhwblghg&amp;oe=68FE5E41</t>
  </si>
  <si>
    <t>https://www.instagram.com/p/DQGqHo4DdXr/</t>
  </si>
  <si>
    <t>2025-10-22T08:00:37+0000</t>
  </si>
  <si>
    <t>17856421599488240</t>
  </si>
  <si>
    <t>Language Hack of the Week! Have no time to learn a language? Build consistency by dedicating just 5 minutes a day to learning. ⏰ 
What do you think of this week's #LanguageHack? Have you tried it?</t>
  </si>
  <si>
    <t>https://scontent-ord5-1.cdninstagram.com/v/t51.82787-15/568604723_18535933273062390_6688290501383160330_n.jpg?stp=dst-jpg_e35_tt6&amp;_nc_cat=101&amp;ccb=1-7&amp;_nc_sid=18de74&amp;efg=eyJlZmdfdGFnIjoiRkVFRC5iZXN0X2ltYWdlX3VybGdlbi5DMyJ9&amp;_nc_ohc=e3MqCxdqE7YQ7kNvwHjq6cs&amp;_nc_oc=AdmZgwZmfBmq_Lcu5qX9hXXIcB9fJ0Aw0sc0rmfcjT6hhdk9OrD6u5ACX_0sYxx_UY8&amp;_nc_zt=23&amp;_nc_ht=scontent-ord5-1.cdninstagram.com&amp;edm=AL-3X8kEAAAA&amp;_nc_gid=iau8cUeaSH21b2kdgG3vgw&amp;oh=00_AferpSV2M2ohQWgGBYseQ2L_pxpjQJdAidND80-IxVQ2GQ&amp;oe=68FE52E1</t>
  </si>
  <si>
    <t>https://www.instagram.com/p/DQEuozaE2K0/</t>
  </si>
  <si>
    <t>2025-10-21T14:01:38+0000</t>
  </si>
  <si>
    <t>18012012014803758</t>
  </si>
  <si>
    <t>We're sending best wishes for a very happy #Diwali to all our colleagues and partners celebrating around the world 🪔</t>
  </si>
  <si>
    <t>VIDEO</t>
  </si>
  <si>
    <t>REELS</t>
  </si>
  <si>
    <t>https://scontent-ord5-3.cdninstagram.com/o1/v/t2/f2/m86/AQPHF1Q5OvI1cwwcMrtOjCOzJ-snseG7PknY9MdFORrTSW-g9WoR6XSimSQa64xZB6HjvRzsc6uhqdKpZyZVvIZxOgyvRc69L4Y8hro.mp4?_nc_cat=100&amp;_nc_sid=5e9851&amp;_nc_ht=scontent-ord5-3.cdninstagram.com&amp;_nc_ohc=0GGcu70cYTsQ7kNvwEGKec4&amp;efg=eyJ2ZW5jb2RlX3RhZyI6Inhwdl9wcm9ncmVzc2l2ZS5JTlNUQUdSQU0uQ0xJUFMuQzMuNzIwLmRhc2hfYmFzZWxpbmVfMV92MSIsInhwdl9hc3NldF9pZCI6MTgzMzEzNjkwNDI2MTMxNSwidmlfdXNlY2FzZV9pZCI6MTAwOTksImR1cmF0aW9uX3MiOjE1LCJ1cmxnZW5fc291cmNlIjoid3d3In0%3D&amp;ccb=17-1&amp;vs=193318f144f05906&amp;_nc_vs=HBkcFQIYUmlnX3hwdl9yZWVsc19wZXJtYW5lbnRfc3JfcHJvZC9GMTQxQzg1NjA3QUE4NzJBQUZEM0U3N0IxM0Y3MEM5Q192aWRlb19kYXNoaW5pdC5tcDQVAALIARIAKAAYABsCiAd1c2Vfb2lsATEScHJvZ3Jlc3NpdmVfcmVjaXBlATEVAAAmhruGoM7OwQYVAigCQzMsF0AuGJN0vGp_GBJkYXNoX2Jhc2VsaW5lXzFfdjERAHX-B2XmnQEA&amp;_nc_gid=iau8cUeaSH21b2kdgG3vgw&amp;edm=AL-3X8kEAAAA&amp;_nc_zt=28&amp;oh=00_AffjTfnRPWbIuNra4_MqS9zQawAli0L1fd-PUEKqhIoRxQ&amp;oe=68FA63C5</t>
  </si>
  <si>
    <t>https://scontent-ord5-1.cdninstagram.com/v/t51.82787-15/568371678_18535657156062390_757920497299218081_n.jpg?stp=dst-jpg_e35_tt6&amp;_nc_cat=101&amp;ccb=1-7&amp;_nc_sid=18de74&amp;efg=eyJlZmdfdGFnIjoiQ0xJUFMuYmVzdF9pbWFnZV91cmxnZW4uQzMifQ%3D%3D&amp;_nc_ohc=5kFzrx1KKpcQ7kNvwHORgnx&amp;_nc_oc=AdmDMn10AhDjFMdf7lMnpRE3aSuE9tDhIF-VJi_Hj633CyPAuUwZXyIuIvFOGEKoaAc&amp;_nc_zt=23&amp;_nc_ht=scontent-ord5-1.cdninstagram.com&amp;edm=AL-3X8kEAAAA&amp;_nc_gid=iau8cUeaSH21b2kdgG3vgw&amp;oh=00_AfcZXTlFDLS4V9gES828jUCP7GIVmnKOTvDZjoxs-M0H7w&amp;oe=68FE7768</t>
  </si>
  <si>
    <t>https://www.instagram.com/reel/DQBkMt5FSo3/</t>
  </si>
  <si>
    <t>2025-10-20T08:33:06+0000</t>
  </si>
  <si>
    <t>18080643068048921</t>
  </si>
  <si>
    <t>Why does protecting music, languages, and crafts matter? 
Discover how our Cultural Protection Fund recognises that intangible cultural heritage is a valuable asset that can tackle global challenges for communities worldwide.
🔗Check out the link in our bio to find out more. 
The British Council’s Cultural Protection Fund safeguards heritage at risk due to conflict and/or climate change. 
#IntangibleCulturalHeritageDay  #CulturalProtectionFund</t>
  </si>
  <si>
    <t>https://scontent-ord5-3.cdninstagram.com/v/t51.82787-15/566439256_18534810337062390_6499785233414796455_n.jpg?stp=dst-jpg_e35_tt6&amp;_nc_cat=109&amp;ccb=1-7&amp;_nc_sid=18de74&amp;efg=eyJlZmdfdGFnIjoiRkVFRC5iZXN0X2ltYWdlX3VybGdlbi5DMyJ9&amp;_nc_ohc=uZ0vU7CiHLsQ7kNvwES5Dyu&amp;_nc_oc=AdlIZYREOp1cd9y9O6xFzti6YtN-D-q_MnhphaIJIyO_lIfb9TlYrU0PDoOCiQLTSIA&amp;_nc_zt=23&amp;_nc_ht=scontent-ord5-3.cdninstagram.com&amp;edm=AL-3X8kEAAAA&amp;_nc_gid=iau8cUeaSH21b2kdgG3vgw&amp;oh=00_Afe8R-2dGYb3mcRrCn61T9lFrE_ODUXUXYOyKEcTl7zZpQ&amp;oe=68FE4E25</t>
  </si>
  <si>
    <t>https://www.instagram.com/p/DP58a5SjCbx/</t>
  </si>
  <si>
    <t>2025-10-17T09:30:24+0000</t>
  </si>
  <si>
    <t>18206918788310351</t>
  </si>
  <si>
    <t>We’re immensely proud of our colleagues and partners who have been recognised for their exceptional service to the UK.
Huge congratulations to:
🎖️ Mark Beddy, our former Trustee and Chair of the Finance Committee, on receiving an Honorary OBE for services to Arts and Culture in the UK
🎖️ Zhanna Sevastianova, on receiving an Honorary MBE for services in support of UK/Ukraine cultural relations. As the Head of English and School Education at uabritish, Zhanna contributes to teacher growth and empowerment, promoting trauma-sensitive teaching and learning, supporting English language and life skills development by fostering cultural connections.
#BritishCouncil #Honours #ArtsAndCulture #Ukraine #awards #mbe</t>
  </si>
  <si>
    <t>CAROUSEL_ALBUM</t>
  </si>
  <si>
    <t>https://scontent-ord5-2.cdninstagram.com/v/t51.82787-15/565092547_18534644776062390_3554256992113169921_n.jpg?stp=dst-jpg_e35_tt6&amp;_nc_cat=103&amp;ccb=1-7&amp;_nc_sid=18de74&amp;efg=eyJlZmdfdGFnIjoiQ0FST1VTRUxfSVRFTS5iZXN0X2ltYWdlX3VybGdlbi5DMyJ9&amp;_nc_ohc=pe0-5PwVqtMQ7kNvwFFw1HX&amp;_nc_oc=AdnjkFGyQF5xq9AO21_OFqWSUaQZU2LorsZ4Vg3Dr8uMNtkvbErHu-O8EWbqemPG5Og&amp;_nc_zt=23&amp;_nc_ht=scontent-ord5-2.cdninstagram.com&amp;edm=AL-3X8kEAAAA&amp;_nc_gid=iau8cUeaSH21b2kdgG3vgw&amp;oh=00_AffDRXH4EloqK2J3pTpDWHHioVAbLL5jAAkpsjrCfDdnvQ&amp;oe=68FE636E</t>
  </si>
  <si>
    <t>https://www.instagram.com/p/DP3iAYXj2XY/</t>
  </si>
  <si>
    <t>2025-10-16T11:01:19+0000</t>
  </si>
  <si>
    <t>17846720277562179</t>
  </si>
  <si>
    <t>🔍 Discover how practitioners are creating works at the intersection of creative practice and technological innovation – all part of our new Arts and Technologies in China report. 
📚 Research by Gary Zhexi Zhang (garyzhexizhang) draws on comprehensive fieldwork including interviews and roundtables with 48 practitioners, educators, curators, technologists and leaders. Explore the growing demand for art and technology, and discover how digital cultural heritage is thriving. 
🔗 To read the report, head to the link in our bio britishcouncil.
📸 Image credit: Wu Ziyang. Image courtesy of the artist. 
Image description: An illuminated human figure sculpture, covered in various images, lies stretched out on a reflective gallery floor. 
#UKChina #Insight #Research #ArtsAndTech #BritishCouncil</t>
  </si>
  <si>
    <t>https://scontent-ord5-2.cdninstagram.com/v/t51.82787-15/564365744_18534405478062390_5432225122872233753_n.jpg?stp=dst-jpg_e35_tt6&amp;_nc_cat=102&amp;ccb=1-7&amp;_nc_sid=18de74&amp;efg=eyJlZmdfdGFnIjoiRkVFRC5iZXN0X2ltYWdlX3VybGdlbi5DMyJ9&amp;_nc_ohc=DaE3zU-BL2gQ7kNvwHT5ssa&amp;_nc_oc=AdlehvYld55V0pbK1vJ12f2ftBui1cpIhu7NRh0667j30KUnQWRtC9TfndlttqA5UmM&amp;_nc_zt=23&amp;_nc_ht=scontent-ord5-2.cdninstagram.com&amp;edm=AL-3X8kEAAAA&amp;_nc_gid=iau8cUeaSH21b2kdgG3vgw&amp;oh=00_Afc9qvN-78PHfxmDo4L6oKB5xFG1cipNuHwSCUYInGxvQw&amp;oe=68FE7216</t>
  </si>
  <si>
    <t>https://www.instagram.com/p/DP0ol3xCQ3P/</t>
  </si>
  <si>
    <t>2025-10-15T08:00:57+0000</t>
  </si>
  <si>
    <t>18076870610136897</t>
  </si>
  <si>
    <t>UK Schools - is it time to bring the world into your classroom? 🌍
Our International School Award can get you started. It offers the opportunity to inspire your students and build an international ethos in your school. 
Find out more now! Just head to the link in our bio britishcouncil.</t>
  </si>
  <si>
    <t>https://scontent-ord5-1.cdninstagram.com/o1/v/t2/f2/m86/AQMBYSmfBKdgzvY9rlHCQAwSTLGrLPKk_A3eQbFf4YmBG3Q0OwlSghdOEt8p9i1FXftnAKksMlLdQSusVO9bFo6Q5I4cc_SyMXsjgPI.mp4?_nc_cat=101&amp;_nc_sid=5e9851&amp;_nc_ht=scontent-ord5-1.cdninstagram.com&amp;_nc_ohc=MKrM_ijwa5oQ7kNvwE2OMlo&amp;efg=eyJ2ZW5jb2RlX3RhZyI6Inhwdl9wcm9ncmVzc2l2ZS5JTlNUQUdSQU0uQ0xJUFMuQzMuNzIwLmRhc2hfYmFzZWxpbmVfMV92MSIsInhwdl9hc3NldF9pZCI6MTQ3MTE5MTc2NzQ5ODc4MywidmlfdXNlY2FzZV9pZCI6MTAwOTksImR1cmF0aW9uX3MiOjUxLCJ1cmxnZW5fc291cmNlIjoid3d3In0%3D&amp;ccb=17-1&amp;vs=f5f4ea15548c4306&amp;_nc_vs=HBksFQIYUmlnX3hwdl9yZWVsc19wZXJtYW5lbnRfc3JfcHJvZC82NzREODZDQjI2MzNCRDZEOTE0QUY2MjlFQ0QxNzdCNl92aWRlb19kYXNoaW5pdC5tcDQVAALIARIAFQIYOnBhc3N0aHJvdWdoX2V2ZXJzdG9yZS9HS3RmcHlIUjdfQ202UkVIQUpzMkxSZnl3WjlNYnN0VEFRQUYVAgLIARIAKAAYABsCiAd1c2Vfb2lsATEScHJvZ3Jlc3NpdmVfcmVjaXBlATEVAAAmvoCW69CCnQUVAigCQzMsF0BJ1wo9cKPXGBJkYXNoX2Jhc2VsaW5lXzFfdjERAHX-B2XmnQEA&amp;_nc_gid=iau8cUeaSH21b2kdgG3vgw&amp;edm=AL-3X8kEAAAA&amp;_nc_zt=28&amp;oh=00_AffsOC-g-mO4r09IdXAgw7CsUW_DYq887l0w57Ekr5cydw&amp;oe=68FA5766</t>
  </si>
  <si>
    <t>https://scontent-ord5-2.cdninstagram.com/v/t51.82787-15/565070432_18534265642062390_6174208388879658606_n.jpg?stp=dst-jpg_e35_tt6&amp;_nc_cat=103&amp;ccb=1-7&amp;_nc_sid=18de74&amp;efg=eyJlZmdfdGFnIjoiQ0xJUFMuYmVzdF9pbWFnZV91cmxnZW4uQzMifQ%3D%3D&amp;_nc_ohc=evoqXC45FtQQ7kNvwH4QYVJ&amp;_nc_oc=AdnTpy7cuYJWxiW6ynl0yEuMGr7OyAvUtAOxB4uXDt2ATzGUkfgCXyDRo9ciXqOuVX4&amp;_nc_zt=23&amp;_nc_ht=scontent-ord5-2.cdninstagram.com&amp;edm=AL-3X8kEAAAA&amp;_nc_gid=iau8cUeaSH21b2kdgG3vgw&amp;oh=00_AfetTphfYx4oxcq0nxelcz6gcBlxFs5nQ1lfHuqyIva3lw&amp;oe=68FE667A</t>
  </si>
  <si>
    <t>https://www.instagram.com/reel/DPysb3BiawA/</t>
  </si>
  <si>
    <t>2025-10-14T14:00:05+0000</t>
  </si>
  <si>
    <t>17985251936906993</t>
  </si>
  <si>
    <t>Language hack of the week! 🏠 Turn your home into a mini language lab and boost your vocabulary. 
Have you tried this in the past? Did it help with reinforcing your vocabulary learning?
#LanguageHack</t>
  </si>
  <si>
    <t>https://scontent-ord5-3.cdninstagram.com/v/t51.82787-15/563183735_18534041632062390_5389932942781695620_n.jpg?stp=dst-jpg_e35_tt6&amp;_nc_cat=107&amp;ccb=1-7&amp;_nc_sid=18de74&amp;efg=eyJlZmdfdGFnIjoiRkVFRC5iZXN0X2ltYWdlX3VybGdlbi5DMyJ9&amp;_nc_ohc=Qttd8_YhE-oQ7kNvwHLRobM&amp;_nc_oc=AdndaJF2fKUxV6LZPkGbZyHbluwPsziq3e7ZPOk_lB3U6wqR-thIQNlaG1eUQem8lNE&amp;_nc_zt=23&amp;_nc_ht=scontent-ord5-3.cdninstagram.com&amp;edm=AL-3X8kEAAAA&amp;_nc_gid=iau8cUeaSH21b2kdgG3vgw&amp;oh=00_Afdk1ikpSy-9OPTk4Md5CJqEYB8kXUVolOlfUOWT_u7OIA&amp;oe=68FE52BE</t>
  </si>
  <si>
    <t>https://www.instagram.com/p/DPvfAIwDJcf/</t>
  </si>
  <si>
    <t>2025-10-13T08:00:57+0000</t>
  </si>
  <si>
    <t>17950167248901952</t>
  </si>
  <si>
    <t>We're so excited that this weekend our very own Selector Radio will present 'After Dark' a UK electronic music showcase in the UK Pavilion at Osaka Expo 2025!
Hear from the three pioneering UK electronic artists, set to take the stage in Japan, along with Selector Radio host Sian Eleri 👇
🔗 For info &amp; set times visit the link in our bio britishcouncil.
#OsakaExpo2025 #UKPavilion #Music #BritishCouncil #ElectronicMusic
iamfourthdaughter misoextra twstwstwst sianeleri britisharts</t>
  </si>
  <si>
    <t>https://scontent-ord5-3.cdninstagram.com/o1/v/t2/f2/m86/AQNKwiLD0yMXyH4tK7uwFqCxuW_4_v_bPr8lnF19w4uBqmzxNqVWFUzUYEqnCwnjGg9cHtPPn5LxKI2qIyZsAUTwBE02NhgK1hGid00.mp4?_nc_cat=109&amp;_nc_sid=5e9851&amp;_nc_ht=scontent-ord5-3.cdninstagram.com&amp;_nc_ohc=AgJL3q7ZljAQ7kNvwGyYSsj&amp;efg=eyJ2ZW5jb2RlX3RhZyI6Inhwdl9wcm9ncmVzc2l2ZS5JTlNUQUdSQU0uQ0xJUFMuQzMuNzIwLmRhc2hfYmFzZWxpbmVfMV92MSIsInhwdl9hc3NldF9pZCI6NzgyNTgwMjgxMjM5Nzc5LCJ2aV91c2VjYXNlX2lkIjoxMDA5OSwiZHVyYXRpb25fcyI6NTAsInVybGdlbl9zb3VyY2UiOiJ3d3cifQ%3D%3D&amp;ccb=17-1&amp;vs=5ccea9b1bab6e52d&amp;_nc_vs=HBksFQIYUmlnX3hwdl9yZWVsc19wZXJtYW5lbnRfc3JfcHJvZC9GRDQ3NzU1MTM5NkE2N0ZEMzg1MTcxODk1Q0I3QTlBMl92aWRlb19kYXNoaW5pdC5tcDQVAALIARIAFQIYOnBhc3N0aHJvdWdoX2V2ZXJzdG9yZS9HSWhEZlNGYVBlbEFWTzBJQVB3cFlHR1ZtN2xmYnN0VEFRQUYVAgLIARIAKAAYABsCiAd1c2Vfb2lsATEScHJvZ3Jlc3NpdmVfcmVjaXBlATEVAAAmxqPfupXw4wIVAigCQzMsF0BJSHKwIMScGBJkYXNoX2Jhc2VsaW5lXzFfdjERAHX-B2XmnQEA&amp;_nc_gid=iau8cUeaSH21b2kdgG3vgw&amp;edm=AL-3X8kEAAAA&amp;_nc_zt=28&amp;oh=00_Affq8nd0q-Vqkx1czi4pOGCwbTPdK3De3dPuloK4RUunTQ&amp;oe=68FA5B12</t>
  </si>
  <si>
    <t>https://scontent-ord5-3.cdninstagram.com/v/t51.82787-15/561924484_18533492944062390_581443466804015206_n.jpg?stp=dst-jpg_e35_tt6&amp;_nc_cat=100&amp;ccb=1-7&amp;_nc_sid=18de74&amp;efg=eyJlZmdfdGFnIjoiQ0xJUFMuYmVzdF9pbWFnZV91cmxnZW4uQzMifQ%3D%3D&amp;_nc_ohc=aVXJOvqQDtMQ7kNvwEgslxM&amp;_nc_oc=AdnRXyyO3aAaN7Q0C3EX37X6481DMkHv66mXRZUvxyxpPg90S2cZCTn0uyNBudafiOw&amp;_nc_zt=23&amp;_nc_ht=scontent-ord5-3.cdninstagram.com&amp;edm=AL-3X8kEAAAA&amp;_nc_gid=iau8cUeaSH21b2kdgG3vgw&amp;oh=00_Afe7tF2HYfrL2RcK4K_fBp3_B_uNpOoQvHT9ehhu_m505w&amp;oe=68FE7ACA</t>
  </si>
  <si>
    <t>https://www.instagram.com/reel/DPopNs0Dqat/</t>
  </si>
  <si>
    <t>2025-10-10T16:20:03+0000</t>
  </si>
  <si>
    <t>18070421327251682</t>
  </si>
  <si>
    <t>Ready to change how you think about language learning? 
💬 Swipe to see the truth behind the common myths that hold learners back, because anyone can make real progress with the right approach. 🌍 
#BritishCouncil #LanguageLearning</t>
  </si>
  <si>
    <t>https://scontent-ord5-1.cdninstagram.com/v/t51.82787-15/561242383_18533411173062390_4436604293898483844_n.jpg?stp=dst-jpg_e35_tt6&amp;_nc_cat=108&amp;ccb=1-7&amp;_nc_sid=18de74&amp;efg=eyJlZmdfdGFnIjoiQ0FST1VTRUxfSVRFTS5iZXN0X2ltYWdlX3VybGdlbi5DMyJ9&amp;_nc_ohc=5xLAkQouHqUQ7kNvwG3ANOv&amp;_nc_oc=AdnUn1TkWrHmZFkc1vmlw7sg6esaI1gfGIf7onmLmPpBgTvYOUJP6KswyDi6ErCfLmA&amp;_nc_zt=23&amp;_nc_ht=scontent-ord5-1.cdninstagram.com&amp;edm=AL-3X8kEAAAA&amp;_nc_gid=iau8cUeaSH21b2kdgG3vgw&amp;oh=00_AffwfwpgfHh79mmhiF_iRd2Ay17v4kFXA8DNcuNCucUwtQ&amp;oe=68FE4A56</t>
  </si>
  <si>
    <t>https://www.instagram.com/p/DPnwq-2Dj2Z/</t>
  </si>
  <si>
    <t>2025-10-10T08:01:37+0000</t>
  </si>
  <si>
    <t>18113279980490792</t>
  </si>
  <si>
    <t>Welcome to the #UKBrazilSeason 2025! Launched this week in Brazil at the Sala São Paulo concert hall, the season will feature more than 100 initiatives, taking place across both countries — on stage and screen, in galleries and public spaces — connecting artists, communities and ideas, and opening up new possibilities for collaboration and creativity, bringing our cultures even closer together. 
To find out more, just head to the link in our bio.
The UK/Brazil Season of Culture is organised by the British Council in partnership with Instituto Guimarães Rosa, the cultural diplomacy arm of Brazil’s Ministry of Foreign Affairs (Itamaraty).
#Brazil #BritishCouncil</t>
  </si>
  <si>
    <t>https://scontent-ord5-1.cdninstagram.com/v/t51.82787-15/562669800_18533161819062390_871776442469922427_n.jpg?stp=dst-jpg_e35_tt6&amp;_nc_cat=111&amp;ccb=1-7&amp;_nc_sid=18de74&amp;efg=eyJlZmdfdGFnIjoiRkVFRC5iZXN0X2ltYWdlX3VybGdlbi5DMyJ9&amp;_nc_ohc=q4dHx4ndk3sQ7kNvwFit6bn&amp;_nc_oc=AdlcQQKATBq3_JqdmJikVoXDl53moH6_Avj-ZhY-lY7vPwoS3qa_QMK8CXtdxqMJ8QY&amp;_nc_zt=23&amp;_nc_ht=scontent-ord5-1.cdninstagram.com&amp;edm=AL-3X8kEAAAA&amp;_nc_gid=iau8cUeaSH21b2kdgG3vgw&amp;oh=00_AfdiBuU-xbkX-Wf-ruaNutd62Cr7Qod_PUmrMmtzo9M3dQ&amp;oe=68FE6515</t>
  </si>
  <si>
    <t>https://www.instagram.com/p/DPlZkfLjGRj/</t>
  </si>
  <si>
    <t>2025-10-09T10:01:04+0000</t>
  </si>
  <si>
    <t>18529292917028592</t>
  </si>
  <si>
    <t>Did you study in the UK? Learn how to influence with impact at Alumni UK's latest Skills Series webinar:
🌟 Analyse who you need to influence - and how.
📅 Wed 15 Oct | 🕐 13:00 BST
💻 Free for international UK alumni
👉 To sign up, head to the link in our bio britishcouncil.
#AlumniUK #SkillsSeries #InfluencingSkills #LeadershipDevelopment #BritishCouncil</t>
  </si>
  <si>
    <t>https://scontent-ord5-2.cdninstagram.com/v/t51.82787-15/561092676_18532973878062390_7400178387983622894_n.jpg?stp=dst-jpg_e35_tt6&amp;_nc_cat=103&amp;ccb=1-7&amp;_nc_sid=18de74&amp;efg=eyJlZmdfdGFnIjoiRkVFRC5iZXN0X2ltYWdlX3VybGdlbi5DMyJ9&amp;_nc_ohc=RbWb9PAcKJ4Q7kNvwFdKu25&amp;_nc_oc=AdkgOJKYPZFTSNC6JchJhI7UbGgasBkLrr1GBEtI3XX7Nb9G5Ca16r5TICms59cSpPg&amp;_nc_zt=23&amp;_nc_ht=scontent-ord5-2.cdninstagram.com&amp;edm=AL-3X8kEAAAA&amp;_nc_gid=iau8cUeaSH21b2kdgG3vgw&amp;oh=00_AffCNpHLvvq6djBhub2uGMcND1pkgT1-5b7lYSZqX3dWlg&amp;oe=68FE7B0C</t>
  </si>
  <si>
    <t>https://www.instagram.com/p/DPinCAniTkz/</t>
  </si>
  <si>
    <t>2025-10-08T08:00:59+0000</t>
  </si>
  <si>
    <t>18067749278204208</t>
  </si>
  <si>
    <t>Why does technology need artists? Because creativity drives innovation, shaping the tools and experiences of tomorrow. Hannah Andrews at the British Council explains how artists are influencing the future of tech, from immersive digital experiences to groundbreaking design. 
Discover the insights and explore the full potential of art in technology. 
Read the full report on our website. You can find the link in our bio britishcouncil.
#BritishCouncil #Arts #Technology #Innovation</t>
  </si>
  <si>
    <t>https://scontent-ord5-3.cdninstagram.com/o1/v/t2/f2/m86/AQP_CMtAMouKfHb_Vazvtz5KQcZO9Claax_BIniwKaUWZzVwWaKwb5OhjeibNmiXtROO1Cync8L_msFD5H1SYcylOD1rKjFZHC7m6Oc.mp4?_nc_cat=107&amp;_nc_sid=5e9851&amp;_nc_ht=scontent-ord5-3.cdninstagram.com&amp;_nc_ohc=xeFekDQG7CYQ7kNvwHuMP2F&amp;efg=eyJ2ZW5jb2RlX3RhZyI6Inhwdl9wcm9ncmVzc2l2ZS5JTlNUQUdSQU0uQ0xJUFMuQzMuNzIwLmRhc2hfYmFzZWxpbmVfMV92MSIsInhwdl9hc3NldF9pZCI6MjIyNzcyNjE4MTA2NDU1OCwidmlfdXNlY2FzZV9pZCI6MTAwOTksImR1cmF0aW9uX3MiOjEwNiwidXJsZ2VuX3NvdXJjZSI6Ind3dyJ9&amp;ccb=17-1&amp;vs=1170de892f5e36a0&amp;_nc_vs=HBksFQIYUmlnX3hwdl9yZWVsc19wZXJtYW5lbnRfc3JfcHJvZC80RjRDRkQ0MkE2OENCOEQzQTFGOTlGQ0MxRUZFNTBCOF92aWRlb19kYXNoaW5pdC5tcDQVAALIARIAFQIYOnBhc3N0aHJvdWdoX2V2ZXJzdG9yZS9HTmpNZnlHZDdYeFgxOFFDQUFlTWh6UkpOMGNiYnFfRUFBQUYVAgLIARIAKAAYABsCiAd1c2Vfb2lsATEScHJvZ3Jlc3NpdmVfcmVjaXBlATEVAAAm3P3uut2G9QcVAigCQzMsF0Bah64UeuFIGBJkYXNoX2Jhc2VsaW5lXzFfdjERAHX-B2XmnQEA&amp;_nc_gid=iau8cUeaSH21b2kdgG3vgw&amp;edm=AL-3X8kEAAAA&amp;_nc_zt=28&amp;oh=00_Afc4KKZXTyEop9Ba7bxqt89Ux9GIPpqrfimXFuvBLDASIA&amp;oe=68FA5254</t>
  </si>
  <si>
    <t>https://scontent-ord5-2.cdninstagram.com/v/t51.82787-15/561348184_18532820248062390_3328902301918938450_n.jpg?stp=dst-jpg_e35_tt6&amp;_nc_cat=105&amp;ccb=1-7&amp;_nc_sid=18de74&amp;efg=eyJlZmdfdGFnIjoiQ0xJUFMuYmVzdF9pbWFnZV91cmxnZW4uQzMifQ%3D%3D&amp;_nc_ohc=KzW9xH6mC_MQ7kNvwEpCQSo&amp;_nc_oc=Adku9pl-DLEi1D4zw_e8AxtbcMJWwEdyU0JCDv2Yv_Kxn2LbpGIAja-VYhi5hj1Ftrg&amp;_nc_zt=23&amp;_nc_ht=scontent-ord5-2.cdninstagram.com&amp;edm=AL-3X8kEAAAA&amp;_nc_gid=iau8cUeaSH21b2kdgG3vgw&amp;oh=00_Afcc9mksurBVjQ9wUpoMsDnzaRZ3E06BJu_VAwzBEAAhwA&amp;oe=68FE6AAD</t>
  </si>
  <si>
    <t>https://www.instagram.com/reel/DPgq5OVDGtp/</t>
  </si>
  <si>
    <t>2025-10-07T14:00:36+0000</t>
  </si>
  <si>
    <t>18020401130716503</t>
  </si>
  <si>
    <t>The most powerful leaders lead authentically — staying true to themselves. 
Join us for #YouthConnectLive to explore how to lead with integrity, align your actions with your values, and lead with purpose. 
👉 Register now - you can find the link in our bio britishcouncil.
🗓There will be two sessions for this event: 
🎙️Guest interview: 8 Oct, 12.00 (BST)  and a follow-on Q&amp;A: 15 Oct, 12.00 (BST) 
Both sessions will be streamed live on Facebook. Learn more: https://fb.me/e/36lVtjqJl 
#BritishCouncil #Leadership #OnlineEvent</t>
  </si>
  <si>
    <t>https://scontent-ord5-2.cdninstagram.com/v/t51.82787-15/560161820_18532552369062390_7580216602279467566_n.jpg?stp=dst-jpg_e35_tt6&amp;_nc_cat=103&amp;ccb=1-7&amp;_nc_sid=18de74&amp;efg=eyJlZmdfdGFnIjoiRkVFRC5iZXN0X2ltYWdlX3VybGdlbi5DMyJ9&amp;_nc_ohc=QIMMN_VmkCQQ7kNvwEX9rH9&amp;_nc_oc=AdntkXfIAIUM9cQlhzDRPlsFBhBcf6PgdxnGi_QobgGJ8BWdNdS52DT26QqSmEz6oR8&amp;_nc_zt=23&amp;_nc_ht=scontent-ord5-2.cdninstagram.com&amp;edm=AL-3X8kEAAAA&amp;_nc_gid=iau8cUeaSH21b2kdgG3vgw&amp;oh=00_AfdLJYyL7_Th2188VOki8EEwqWUU_J47hj-7hnf8pE77Qg&amp;oe=68FE68AD</t>
  </si>
  <si>
    <t>https://www.instagram.com/p/DPeGwpxDHCG/</t>
  </si>
  <si>
    <t>2025-10-06T14:02:05+0000</t>
  </si>
  <si>
    <t>18055977353207513</t>
  </si>
  <si>
    <t>We’re immensely proud of Lyubov Kostova, who has been awarded the Honorary British Empire Medal by His Majesty King Charles III for services to UK science and education.
Lyubov is a long-time collaborator and former leader at the British Council in Bulgaria. As the founder of the Sofia Science Festival and the driving force behind the international success of FameLab, she has inspired thousands by making science more accessible and engaging.
Congratulations, Lyubov! 🎖️
📸 His Excellency Nathaniel Copsey, British Ambassador to Bulgaria, presenting the award to Lyubov Kostova.
#britishcouncil #bułgaria #sciencecommunication #famelab #sofiasciencefestival #britishempiremedal #kingcharles</t>
  </si>
  <si>
    <t>https://scontent-ord5-3.cdninstagram.com/v/t51.82787-15/560699984_18532521832062390_4578432534922997189_n.jpg?stp=dst-jpg_e35_tt6&amp;_nc_cat=109&amp;ccb=1-7&amp;_nc_sid=18de74&amp;efg=eyJlZmdfdGFnIjoiQ0FST1VTRUxfSVRFTS5iZXN0X2ltYWdlX3VybGdlbi5DMyJ9&amp;_nc_ohc=o5wx8zpZkZQQ7kNvwFApq-j&amp;_nc_oc=Adko0Mc5x9vO5sGVIYyazpeNv-aJbT4Aad1jUbXo57XDlxsUaZRmlQ2QPQNPtlqsfXw&amp;_nc_zt=23&amp;_nc_ht=scontent-ord5-3.cdninstagram.com&amp;edm=AL-3X8kEAAAA&amp;_nc_gid=iau8cUeaSH21b2kdgG3vgw&amp;oh=00_AfdrCh-D4XEcdW_vWWW770k21idcuch2HFslOMHZvUGtyA&amp;oe=68FE6437</t>
  </si>
  <si>
    <t>https://www.instagram.com/p/DPdpVbMCHIQ/</t>
  </si>
  <si>
    <t>2025-10-06T09:44:46+0000</t>
  </si>
  <si>
    <t>18021818186576922</t>
  </si>
  <si>
    <t>Happy #WorldTeachersDay! We have a little something for all #ELT teachers - an invite to our three-day online international conference for English teachers. Our theme this year is 'Global voices, future focus'. 
Sign up now - you can find the link in our bio britishcouncil.
#TeachingEnglish #BritishCouncil</t>
  </si>
  <si>
    <t>https://scontent-ord5-2.cdninstagram.com/v/t51.82787-15/559744166_18532230613062390_293356065659986018_n.jpg?stp=dst-jpg_e35_tt6&amp;_nc_cat=110&amp;ccb=1-7&amp;_nc_sid=18de74&amp;efg=eyJlZmdfdGFnIjoiQ0FST1VTRUxfSVRFTS5iZXN0X2ltYWdlX3VybGdlbi5DMyJ9&amp;_nc_ohc=Rd3eocezAQIQ7kNvwEbF5-v&amp;_nc_oc=Adnn2qM6SwbNLX_1i4Dagns_CrpmhLAu2KRms2bIhmQqiQUddaidtip2Edodj3d9V1A&amp;_nc_zt=23&amp;_nc_ht=scontent-ord5-2.cdninstagram.com&amp;edm=AL-3X8kEAAAA&amp;_nc_gid=iau8cUeaSH21b2kdgG3vgw&amp;oh=00_Afe7G0zYFf8wcU-MasGcNpy1eu-WC1Gw-Yxj66TaHqE9pA&amp;oe=68FE57F3</t>
  </si>
  <si>
    <t>https://www.instagram.com/p/DPa_eIJjMoK/</t>
  </si>
  <si>
    <t>2025-10-05T09:00:48+0000</t>
  </si>
  <si>
    <t>18307904485218766</t>
  </si>
  <si>
    <t>A little bit of Friday fun! Can you guess the cultural references from the emoji clues? We challenge you to create your own emoji culture clue 🧐 Share in the comments 👇</t>
  </si>
  <si>
    <t>https://scontent-ord5-2.cdninstagram.com/v/t51.82787-15/559081274_18531828865062390_4502612882456344091_n.jpg?stp=dst-jpg_e35_tt6&amp;_nc_cat=105&amp;ccb=1-7&amp;_nc_sid=18de74&amp;efg=eyJlZmdfdGFnIjoiQ0FST1VTRUxfSVRFTS5iZXN0X2ltYWdlX3VybGdlbi5DMyJ9&amp;_nc_ohc=oq9R_D-pHg0Q7kNvwE7B_PX&amp;_nc_oc=AdlNS7IjNZs2jrNifTno0N1oNj1mJGxAdJH7rTgv0geWhkvHp6qtKM0n1E0dBlWEz80&amp;_nc_zt=23&amp;_nc_ht=scontent-ord5-2.cdninstagram.com&amp;edm=AL-3X8kEAAAA&amp;_nc_gid=iau8cUeaSH21b2kdgG3vgw&amp;oh=00_Aff4T9meiokcFHzKCTWbvfwR6fLOzN-S49wS2aCeMhgTXQ&amp;oe=68FE6DDA</t>
  </si>
  <si>
    <t>https://www.instagram.com/p/DPWYZkykxc-/</t>
  </si>
  <si>
    <t>2025-10-03T14:02:25+0000</t>
  </si>
  <si>
    <t>18057690374608780</t>
  </si>
  <si>
    <t>During their recent visit to Japan, Their Royal Highnesses, The Duke and Duchess of Edinburgh, met with children who are learning English through a British Council supervised curriculum. 
📸 British Embassy Tokyo. 
#RoyalFamily #BritishCouncil</t>
  </si>
  <si>
    <t>https://scontent-ord5-3.cdninstagram.com/v/t51.82787-15/559967319_18531770323062390_4248415036177760130_n.jpg?stp=dst-jpg_e35_tt6&amp;_nc_cat=109&amp;ccb=1-7&amp;_nc_sid=18de74&amp;efg=eyJlZmdfdGFnIjoiQ0FST1VTRUxfSVRFTS5iZXN0X2ltYWdlX3VybGdlbi5DMyJ9&amp;_nc_ohc=6XQN07B9v0MQ7kNvwEwNT5f&amp;_nc_oc=Adlii1h9tCbzeMh6WPUCK98ZbX43hJB09O_GmXDjbyZNnatYoUNVHBrLmUFht0KIQw0&amp;_nc_zt=23&amp;_nc_ht=scontent-ord5-3.cdninstagram.com&amp;edm=AL-3X8kEAAAA&amp;_nc_gid=iau8cUeaSH21b2kdgG3vgw&amp;oh=00_AfdAG1tT_-b1l1J2QTVOfqlxgyvPCtPL0bMTxONVkmEIWQ&amp;oe=68FE6D50</t>
  </si>
  <si>
    <t>https://www.instagram.com/p/DPVvIApj7Ja/</t>
  </si>
  <si>
    <t>2025-10-03T08:01:51+0000</t>
  </si>
  <si>
    <t>18082845814753761</t>
  </si>
  <si>
    <t>https://scontent-ord5-2.cdninstagram.com/v/t51.82787-15/559363864_18531770242062390_4172083871541945360_n.jpg?stp=dst-jpg_e35_tt6&amp;_nc_cat=102&amp;ccb=1-7&amp;_nc_sid=18de74&amp;efg=eyJlZmdfdGFnIjoiQ0FST1VTRUxfSVRFTS5iZXN0X2ltYWdlX3VybGdlbi5DMyJ9&amp;_nc_ohc=X-sXDKon690Q7kNvwEyqMYY&amp;_nc_oc=AdlKrgIpDia-E11aKfYltfwz58pnj1buvmn8GQrefwdHKz43TqmZBorvav2ss4stRpI&amp;_nc_zt=23&amp;_nc_ht=scontent-ord5-2.cdninstagram.com&amp;edm=AL-3X8kEAAAA&amp;_nc_gid=iau8cUeaSH21b2kdgG3vgw&amp;oh=00_AfeqLTekqnLjkS3tp9IG8X9Amm-6lFagQhKXZUSas2kQqw&amp;oe=68FE46DC</t>
  </si>
  <si>
    <t>https://www.instagram.com/p/DPVvELRjO9h/</t>
  </si>
  <si>
    <t>2025-10-03T08:01:13+0000</t>
  </si>
  <si>
    <t>17877601230308626</t>
  </si>
  <si>
    <t>To mark #BlackHistoryMonth, we've put together some stories you may not have heard before. These were originally shared with our colleagues on our internal channels. They were very popular, so we'd like to share them with you too. You can find them from the link in our bio britishcouncil.
#BlackHistoryMonth #BritishCouncil</t>
  </si>
  <si>
    <t>https://scontent-ord5-2.cdninstagram.com/v/t51.82787-15/557557740_18531560305062390_7263893449541642283_n.jpg?stp=dst-jpg_e35_tt6&amp;_nc_cat=102&amp;ccb=1-7&amp;_nc_sid=18de74&amp;efg=eyJlZmdfdGFnIjoiRkVFRC5iZXN0X2ltYWdlX3VybGdlbi5DMyJ9&amp;_nc_ohc=aknb0gImYecQ7kNvwGTWHv2&amp;_nc_oc=AdkQu-o8rnDfk6wytLqbfze93rfG6L8rYLcy4cehibTtVmSsdLS0guMHNqjPtBHx97M&amp;_nc_zt=23&amp;_nc_ht=scontent-ord5-2.cdninstagram.com&amp;edm=AL-3X8kEAAAA&amp;_nc_gid=iau8cUeaSH21b2kdgG3vgw&amp;oh=00_AfeuX92ubp9Kavkt8eh17Ttth6LZ8jaWpNpw3sIbibTSiQ&amp;oe=68FE6A64</t>
  </si>
  <si>
    <t>https://www.instagram.com/p/DPTYAOcDpk6/</t>
  </si>
  <si>
    <t>2025-10-02T10:01:04+0000</t>
  </si>
  <si>
    <t>18081681418963399</t>
  </si>
  <si>
    <t>✨ October of Culture ✨ 
From stage to screen, from visual to virtual – UK/Poland Season 2025 has it all covered. We've planned a busy autumn with over 20 exciting new events including theatre, AI, visual arts, and more. Whatever your interests, you’ll find something to inspire you! 
Find out more on our website. You can find the link in our bio britishcouncil.
#UKPolandSeason is organised in partnership with mickiewicz_institute and polish_culture.</t>
  </si>
  <si>
    <t>https://scontent-ord5-2.cdninstagram.com/v/t51.82787-15/557437110_18531367777062390_5778731943138291688_n.jpg?stp=dst-jpg_e35_tt6&amp;_nc_cat=102&amp;ccb=1-7&amp;_nc_sid=18de74&amp;efg=eyJlZmdfdGFnIjoiQ0FST1VTRUxfSVRFTS5iZXN0X2ltYWdlX3VybGdlbi5DMyJ9&amp;_nc_ohc=U-K511cjNCYQ7kNvwGpG3N7&amp;_nc_oc=AdlecBdRtLqhyATnAnhpqddZ2p39i9RfEFbNnjnGY-LYV44U8eXNHAVd5iNK580K_xE&amp;_nc_zt=23&amp;_nc_ht=scontent-ord5-2.cdninstagram.com&amp;edm=AL-3X8kEAAAA&amp;_nc_gid=iau8cUeaSH21b2kdgG3vgw&amp;oh=00_AfeLM5OE6fr5RXfSUV_YuANYglecnrVB-fXGNd8-BGTBQQ&amp;oe=68FE72CC</t>
  </si>
  <si>
    <t>https://www.instagram.com/p/DPRO7XgjJvX/</t>
  </si>
  <si>
    <t>2025-10-01T14:03:27+0000</t>
  </si>
  <si>
    <t>17871834591354253</t>
  </si>
  <si>
    <t>On #InternationalPodcastDay, explore the transformative power of arts, culture, language, and education in addressing global challenges, including peacebuilding, sustainable development, climate change, and the growth of AI. Tune into the British Council's #OurWorldConnectedPodcast now! 
You can find all episodes, including the new Season 3, by heading to the link in our bio britishcouncil.</t>
  </si>
  <si>
    <t>https://scontent-ord5-2.cdninstagram.com/o1/v/t2/f2/m86/AQMAPVPnO_f0baw5TclXCKQDYbIxGEMRrszjlKKZmSwb1H3ya4WnZgT78rerU39GH1kv1eUZI-DqwElXaGd2yYOtOBB002e5ippW5IM.mp4?_nc_cat=110&amp;_nc_sid=5e9851&amp;_nc_ht=scontent-ord5-2.cdninstagram.com&amp;_nc_ohc=j2OsxQXnGHgQ7kNvwFw76iF&amp;efg=eyJ2ZW5jb2RlX3RhZyI6Inhwdl9wcm9ncmVzc2l2ZS5JTlNUQUdSQU0uQ0xJUFMuQzMuNzIwLmRhc2hfYmFzZWxpbmVfMV92MSIsInhwdl9hc3NldF9pZCI6MTEwNzMzMzExNDgwMTIyMSwidmlfdXNlY2FzZV9pZCI6MTAwOTksImR1cmF0aW9uX3MiOjEzMCwidXJsZ2VuX3NvdXJjZSI6Ind3dyJ9&amp;ccb=17-1&amp;vs=2bb28782e5a8426a&amp;_nc_vs=HBksFQIYUmlnX3hwdl9yZWVsc19wZXJtYW5lbnRfc3JfcHJvZC8zNTQxRTRGQjUxN0FFOTczRkQ4MDNCRDc1ODY4QkVBRF92aWRlb19kYXNoaW5pdC5tcDQVAALIARIAFQIYOnBhc3N0aHJvdWdoX2V2ZXJzdG9yZS9HTWkyRXlFU25HdGM5U1VEQUFyMmF1TzZFV3N4YnFfRUFBQUYVAgLIARIAKAAYABsCiAd1c2Vfb2lsATEScHJvZ3Jlc3NpdmVfcmVjaXBlATEVAAAmirGlz6LH9wMVAigCQzMsF0BgTqfvnbItGBJkYXNoX2Jhc2VsaW5lXzFfdjERAHX-B2XmnQEA&amp;_nc_gid=iau8cUeaSH21b2kdgG3vgw&amp;edm=AL-3X8kEAAAA&amp;_nc_zt=28&amp;oh=00_AfczW3xUPmNYSKVFo5gh8iZKVV_jfzlVuKDafsLXLJ48Eg&amp;oe=68FA83DF</t>
  </si>
  <si>
    <t>https://scontent-ord5-2.cdninstagram.com/v/t51.82787-15/557633553_18531091318062390_8192308833287367186_n.jpg?stp=dst-jpg_e35_tt6&amp;_nc_cat=110&amp;ccb=1-7&amp;_nc_sid=18de74&amp;efg=eyJlZmdfdGFnIjoiQ0xJUFMuYmVzdF9pbWFnZV91cmxnZW4uQzMifQ%3D%3D&amp;_nc_ohc=CCv7xnHy0ikQ7kNvwGLL9pq&amp;_nc_oc=Adlmtpi1xc0dE-1Q-no5_XR1jZaCjyS3wP5NW0f3hgqpQOihe3gFLXMrs0VQJSscUPs&amp;_nc_zt=23&amp;_nc_ht=scontent-ord5-2.cdninstagram.com&amp;edm=AL-3X8kEAAAA&amp;_nc_gid=iau8cUeaSH21b2kdgG3vgw&amp;oh=00_AfcFBA7snFCdqkbd6m1RFp7AQ2Nl9WpzXyAhvWHLqgiQRQ&amp;oe=68FE57EB</t>
  </si>
  <si>
    <t>https://www.instagram.com/reel/DPN5NChjX9-/</t>
  </si>
  <si>
    <t>2025-09-30T07:00:09+0000</t>
  </si>
  <si>
    <t>18081951701501112</t>
  </si>
  <si>
    <t>📚 Secondary teachers - Share a love of reading and celebrate books from different cultures! 
We have a new opportunity to join a guided international partnership. This next round links secondary schools in the UK and #Morocco to share the joy of reading and celebrate books from different cultures. This programme will run from December 2025 to March 2026. 
The deadline to apply is 24 October. To find out more, click on the link in our bio britishcouncil.</t>
  </si>
  <si>
    <t>https://scontent-ord5-3.cdninstagram.com/v/t51.82787-15/557526053_18530927008062390_962858324574567070_n.jpg?stp=dst-jpg_e35_tt6&amp;_nc_cat=100&amp;ccb=1-7&amp;_nc_sid=18de74&amp;efg=eyJlZmdfdGFnIjoiRkVFRC5iZXN0X2ltYWdlX3VybGdlbi5DMyJ9&amp;_nc_ohc=GeqQObSMFi0Q7kNvwHvL5pR&amp;_nc_oc=AdnfiHp49b4KrN45AONmZzOM_lgLEHwcw0lNxjfkJKe7jyK9XVw5JOMzc0zpkPsINIg&amp;_nc_zt=23&amp;_nc_ht=scontent-ord5-3.cdninstagram.com&amp;edm=AL-3X8kEAAAA&amp;_nc_gid=iau8cUeaSH21b2kdgG3vgw&amp;oh=00_AfePGyXyZ_Wfvo9G2qwD6DjpHL9Ef86qzl1d_lOFyMqKHQ&amp;oe=68FE5D5B</t>
  </si>
  <si>
    <t>https://www.instagram.com/p/DPMFQMHDtK9/</t>
  </si>
  <si>
    <t>2025-09-29T14:02:28+0000</t>
  </si>
  <si>
    <t>18083683501898615</t>
  </si>
  <si>
    <t>🌐 It’s European Day of Languages! 
Did you know many of the everyday English words we use have fascinating origins in European languages?
Swipe through to discover a few favourites that have made their way into English over time. 
What’s your favourite loanword? Tell us in the comments!
#britishcouncil #europeandayoflanguages #languagelearning #wordorigins #loanwords #learnenglish #multilingual</t>
  </si>
  <si>
    <t>https://scontent-ord5-2.cdninstagram.com/v/t51.82787-15/553358320_18530224891062390_9063593398662203498_n.jpg?stp=dst-jpg_e35_tt6&amp;_nc_cat=105&amp;ccb=1-7&amp;_nc_sid=18de74&amp;efg=eyJlZmdfdGFnIjoiQ0FST1VTRUxfSVRFTS5iZXN0X2ltYWdlX3VybGdlbi5DMyJ9&amp;_nc_ohc=98FL3xf7D_wQ7kNvwE7TdPf&amp;_nc_oc=Adlx75dzObF-TSGUhDA1JG9P_-Bpwq7GHidDHylPciuiGyHqZZ92HpyFC0jIgoBz6rg&amp;_nc_zt=23&amp;_nc_ht=scontent-ord5-2.cdninstagram.com&amp;edm=AL-3X8kEAAAA&amp;_nc_gid=iau8cUeaSH21b2kdgG3vgw&amp;oh=00_AfcMKO328Z3q2dsYkvPUmT6BApNNbOpx-B8B-77bO1tTRA&amp;oe=68FE4AE6</t>
  </si>
  <si>
    <t>https://www.instagram.com/p/DPD3Yt8kZOe/</t>
  </si>
  <si>
    <t>2025-09-26T09:27:18+0000</t>
  </si>
  <si>
    <t>17860221444497763</t>
  </si>
  <si>
    <t>🧩 What does it mean to tell stories through the spaces we live in? And how can architecture be a source of memory and repair?
In the second bonus episode of #OurWorldConnectedPodcast Season 2, we share conversations with architect and researcher Kabage Karanja of Cave Bureau, filmmaker Noé Mendelle from the Scottish Documentary Institute, and artist Rosie Olang’ Odhiambo.
🎧 Listen now. The link is in our bio.
#podcasting #britishcouncil #discussion</t>
  </si>
  <si>
    <t>https://scontent-ord5-3.cdninstagram.com/v/t51.82787-15/551449212_18529925764062390_3420497781155951139_n.jpg?stp=dst-jpg_e35_tt6&amp;_nc_cat=107&amp;ccb=1-7&amp;_nc_sid=18de74&amp;efg=eyJlZmdfdGFnIjoiRkVFRC5iZXN0X2ltYWdlX3VybGdlbi5DMyJ9&amp;_nc_ohc=zTwL4e08Ku8Q7kNvwFHr9VU&amp;_nc_oc=AdkqjdRmu1NS3rw3LQCQM4oEj8WM_iIw1ift2I7Yhj2gEq9iIlnTTpdEJ0BqYRpVfGY&amp;_nc_zt=23&amp;_nc_ht=scontent-ord5-3.cdninstagram.com&amp;edm=AL-3X8kEAAAA&amp;_nc_gid=iau8cUeaSH21b2kdgG3vgw&amp;oh=00_AferZfuog5IUM1AT9ue9hk-YYqXrtLlteuDbo9gDD3v2Lw&amp;oe=68FE7879</t>
  </si>
  <si>
    <t>https://www.instagram.com/p/DO_ZlCRk6lJ/</t>
  </si>
  <si>
    <t>2025-09-24T15:49:53+0000</t>
  </si>
  <si>
    <t>18087430009861012</t>
  </si>
  <si>
    <t>📢 MFL teachers in England, if you're looking to develop your teaching skills, there's a great new CPD platform created just for you. Whatever stage you're at in your career, join the free online CPD space from the National Consortium for Languages Education. Flexible, bite-sized modules support you in breaking down the barriers to language learning to ensure all students reach their full potential. Register now - you can find the link in our bio britishcouncil.
Video description: animation showing a stylised drawing of a tree growing. Text says: National Consortium for Languages Education. Language Educators Online. Empowering professional learning. Register now.</t>
  </si>
  <si>
    <t>https://scontent-ord5-1.cdninstagram.com/v/t51.82787-15/553577327_18529692811062390_4985680933134266269_n.jpg?stp=dst-jpg_e35_tt6&amp;_nc_cat=111&amp;ccb=1-7&amp;_nc_sid=18de74&amp;efg=eyJlZmdfdGFnIjoiRkVFRC5iZXN0X2ltYWdlX3VybGdlbi5DMyJ9&amp;_nc_ohc=pTsObjK9jFkQ7kNvwHSuwV0&amp;_nc_oc=AdldciW0wZQOmta8ZVapXNON5Q1yb6fTbMpBCqCz1AqU387_re3n1-3NpcNlC05K_lA&amp;_nc_zt=23&amp;_nc_ht=scontent-ord5-1.cdninstagram.com&amp;edm=AL-3X8kEAAAA&amp;_nc_gid=iau8cUeaSH21b2kdgG3vgw&amp;oh=00_Aff76MOYL_F-FqQJna6SOfnTkKZqQXav_ksfSwt1K4mtng&amp;oe=68FE7ED8</t>
  </si>
  <si>
    <t>https://www.instagram.com/p/DO74MahDmkF/</t>
  </si>
  <si>
    <t>2025-09-23T07:00:31+0000</t>
  </si>
  <si>
    <t>18407856760116204</t>
  </si>
  <si>
    <t>Whether it’s a painting, a song, or a performance, art leaves a lasting impression. It challenges us, comforts us, and motivates us to grow. How has it inspired you?
#Art #ArtAndMe #Artist #Inspiration #BritishCouncil</t>
  </si>
  <si>
    <t>https://scontent-ord5-1.cdninstagram.com/v/t51.82787-15/552697100_18529493443062390_1487832605544476378_n.jpg?stp=dst-jpg_e35_tt6&amp;_nc_cat=108&amp;ccb=1-7&amp;_nc_sid=18de74&amp;efg=eyJlZmdfdGFnIjoiRkVFRC5iZXN0X2ltYWdlX3VybGdlbi5DMyJ9&amp;_nc_ohc=A1rIMbluGrAQ7kNvwEUth-S&amp;_nc_oc=Adn2385wpeZ2-5X_nHIaKFTgr3wD90Dl_QOD6m83SO_OriviTl_pExK-kCoFjE3TziQ&amp;_nc_zt=23&amp;_nc_ht=scontent-ord5-1.cdninstagram.com&amp;edm=AL-3X8kEAAAA&amp;_nc_gid=iau8cUeaSH21b2kdgG3vgw&amp;oh=00_AffnUeeQUvgK5QnROuMnA77un6S_8XN7ZXeyvZtClSsE2w&amp;oe=68FE47FE</t>
  </si>
  <si>
    <t>https://www.instagram.com/p/DO5aTi6iaIQ/</t>
  </si>
  <si>
    <t>2025-09-22T08:00:56+0000</t>
  </si>
  <si>
    <t>18293162521253737</t>
  </si>
  <si>
    <t>Are you currently studying in the UK? Join Study UK’s free online course, ‘Managing your wellbeing when studying in the UK,’ starting on 6 October. 
You’ll learn how to overcome cultural challenges, combat and manage stress, and build strong support networks inside and outside of university. 
Dr Lucy Robinson and Dr Ellen Marshall, from Newcastle University’s School of Psychology, are facilitating the course for three weeks. They will be on hand to guide you through the course, answering questions and encouraging you in your journey. 
Don’t miss out, register today, you can find the link in our bio britishcouncil.org.
#StudyUK #WellbeingMOOC #StudentWellbeing #InternationalStudentUK #BritishCouncil
Studyuk_britishcouncil</t>
  </si>
  <si>
    <t>https://scontent-ord5-2.cdninstagram.com/o1/v/t2/f2/m86/AQMzal6PPkX3OxAcNSOTChMVOhZuRacoy6VGCPtcbAfd8fQ-TWDjB8zXXsTIwTT48J6E9LtxB6VjjMZ-tv-5tnPb0sEozLEJJA-VK9g.mp4?_nc_cat=103&amp;_nc_sid=5e9851&amp;_nc_ht=scontent-ord5-2.cdninstagram.com&amp;_nc_ohc=cjFff3YMQa0Q7kNvwECTrb_&amp;efg=eyJ2ZW5jb2RlX3RhZyI6Inhwdl9wcm9ncmVzc2l2ZS5JTlNUQUdSQU0uQ0xJUFMuQzMuNzIwLmRhc2hfYmFzZWxpbmVfMV92MSIsInhwdl9hc3NldF9pZCI6MTQyNTg4NTMwNTE1MDk4OSwidmlfdXNlY2FzZV9pZCI6MTAwOTksImR1cmF0aW9uX3MiOjE1LCJ1cmxnZW5fc291cmNlIjoid3d3In0%3D&amp;ccb=17-1&amp;vs=e7a4a109fdc668c1&amp;_nc_vs=HBkcFQIYUmlnX3hwdl9yZWVsc19wZXJtYW5lbnRfc3JfcHJvZC85QTRCQTE5ODk0OEJEN0U2OUJGN0RFMjk3NkE5REE5NV92aWRlb19kYXNoaW5pdC5tcDQVAALIARIAKAAYABsCiAd1c2Vfb2lsATEScHJvZ3Jlc3NpdmVfcmVjaXBlATEVAAAmmvjUsbm1iAUVAigCQzMsF0AuBysCDEm6GBJkYXNoX2Jhc2VsaW5lXzFfdjERAHX-B2XmnQEA&amp;_nc_gid=iau8cUeaSH21b2kdgG3vgw&amp;edm=AL-3X8kEAAAA&amp;_nc_zt=28&amp;oh=00_Afdke0EHyXzUJ9MFBK7UTVDpz1_vNBDNnk377ZVrUGPDjA&amp;oe=68FA6C44</t>
  </si>
  <si>
    <t>https://scontent-ord5-3.cdninstagram.com/v/t51.82787-15/550824528_18528759073062390_6298313605813798757_n.jpg?stp=dst-jpg_e35_tt6&amp;_nc_cat=107&amp;ccb=1-7&amp;_nc_sid=18de74&amp;efg=eyJlZmdfdGFnIjoiQ0xJUFMuYmVzdF9pbWFnZV91cmxnZW4uQzMifQ%3D%3D&amp;_nc_ohc=a4cs0nRCJD0Q7kNvwHBLWeg&amp;_nc_oc=AdngZycF8DddvF1q_wF3k57qR9QHcYOyS9tW6gXkU9_Irt0knnrc19X7eNYFhk4emaQ&amp;_nc_zt=23&amp;_nc_ht=scontent-ord5-3.cdninstagram.com&amp;edm=AL-3X8kEAAAA&amp;_nc_gid=iau8cUeaSH21b2kdgG3vgw&amp;oh=00_AfdoDZ5dOREHK0und0bv6YEA8uy_oEFNqYjP6am_I0GVag&amp;oe=68FE7A92</t>
  </si>
  <si>
    <t>https://www.instagram.com/reel/DOxrUtgDaoD/</t>
  </si>
  <si>
    <t>2025-09-19T08:00:21+0000</t>
  </si>
  <si>
    <t>18151809748360819</t>
  </si>
  <si>
    <t>If you’re in London, check out the new exhibition at our Stratford office. New Landscapes is a research and development partnership supporting transnational small to medium business partnerships, helping to tackle fashion, textiles and related technology sustainability challenges. 
Visit the exhibition to explore novel materials, products and services, including bio-derived embellishments, regenerative desi cotton underwear, and an app keeping India’s rich regional mending heritage in touch with customers. 
Pop in if you’re visiting the V&amp;A East Museum to see the new #DavidBowie Centre, we’re just down the road!
Key information: 
Location: Ground Floor, 1 Redman Place, Stratford Cross, London E20 1JQ
Opening dates: 12 September 2025 - 30 January 2026 
Opening times: 09:00-17:00, Monday - Friday 
Free entry, no booking required, just sign in at reception on arrival. 
📸 Courtesy of nipun_prabhakar 
#LDF2025 #LondonDesignFestival #BritishCouncil #Fashion #Sustainability #Bowie</t>
  </si>
  <si>
    <t>https://scontent-ord5-3.cdninstagram.com/v/t51.82787-15/550553008_18528603886062390_4447142832016438877_n.jpg?stp=dst-jpg_e35_tt6&amp;_nc_cat=109&amp;ccb=1-7&amp;_nc_sid=18de74&amp;efg=eyJlZmdfdGFnIjoiRkVFRC5iZXN0X2ltYWdlX3VybGdlbi5DMyJ9&amp;_nc_ohc=v7YMJ1jn3oMQ7kNvwFeVMmi&amp;_nc_oc=AdleiAm-91URfG2g-uRVd1LYVL_EQcRgaVn73zRzBAeNbf2lmJZFWr9KJ35Sj9B1NOE&amp;_nc_zt=23&amp;_nc_ht=scontent-ord5-3.cdninstagram.com&amp;edm=AL-3X8kEAAAA&amp;_nc_gid=iau8cUeaSH21b2kdgG3vgw&amp;oh=00_Afe7olYGBuCli-1_0L3HGVGUDehpTVFdycboivMy3pRf3w&amp;oe=68FE513D</t>
  </si>
  <si>
    <t>https://www.instagram.com/p/DOvU5Gxk101/</t>
  </si>
  <si>
    <t>2025-09-18T10:01:11+0000</t>
  </si>
  <si>
    <t>17883670485369139</t>
  </si>
  <si>
    <t>🌍 Alumni UK, take your professional skills to the next level with our free Skills Series webinars.
🎤 Presentation Skills: Managing Difficult Questions When Presenting
📅 Thursday 25 September | 🕑 14:00 BST
💻 Free &amp; online
In this session, you'll learn to:
Respond calmly and confidently to tough questions.
Build trust and connection during Q&amp;As.
Anticipate challenges and prepare with confidence.
Open to international graduates of UK universities
Sign up now: https://joinalumniuk.britishcouncil.org/alumni-uk-2025-webinar-skills-series
#AlumniUK #SkillsSeries #UKAlumni #ProfessionalDevelopment #PresentationSkills #FreeWebinar</t>
  </si>
  <si>
    <t>https://scontent-ord5-2.cdninstagram.com/v/t51.82787-15/549651595_18528307114062390_534073550668065467_n.jpg?stp=dst-jpg_e35_tt6&amp;_nc_cat=102&amp;ccb=1-7&amp;_nc_sid=18de74&amp;efg=eyJlZmdfdGFnIjoiRkVFRC5iZXN0X2ltYWdlX3VybGdlbi5DMyJ9&amp;_nc_ohc=1krgBeX7-IcQ7kNvwF0gqn4&amp;_nc_oc=AdnH2NtbpMw0ofWzT10JhyzWbV0AJdclG5ehC_vGMP4jzD1FuIAje5qAcvWRaXyh_R0&amp;_nc_zt=23&amp;_nc_ht=scontent-ord5-2.cdninstagram.com&amp;edm=AL-3X8kEAAAA&amp;_nc_gid=iau8cUeaSH21b2kdgG3vgw&amp;oh=00_Aff9kcP_0r2GIvOi22MvhaPUreswgbsIZ-WTEtNJa0aa8w&amp;oe=68FE4DEE</t>
  </si>
  <si>
    <t>https://www.instagram.com/p/DOqxsf6ky4T/</t>
  </si>
  <si>
    <t>2025-09-16T15:36:39+0000</t>
  </si>
  <si>
    <t>18053271800636742</t>
  </si>
  <si>
    <t>From kitchen tables to global classrooms, online learning has come a long way.
On National Online Learning Day, Catherine Whitaker, our Global Director of Online Learning, shares five lessons from five years of English Online to help learners thrive.
📌 Read it on the link in our bio.
#britishcouncil #englishonline #learnenglish #onlinelearning</t>
  </si>
  <si>
    <t>https://scontent-ord5-3.cdninstagram.com/v/t51.82787-15/548699699_18528090256062390_8023345286215768456_n.jpg?stp=dst-jpg_e35_tt6&amp;_nc_cat=107&amp;ccb=1-7&amp;_nc_sid=18de74&amp;efg=eyJlZmdfdGFnIjoiRkVFRC5iZXN0X2ltYWdlX3VybGdlbi5DMyJ9&amp;_nc_ohc=tEV1_K5puhgQ7kNvwGsnrO2&amp;_nc_oc=Adk7drRjr_czsgodUxqPW0eMswXeHQtI9kosaQqqRCq90PhSOqtjYU9QlSYtADtQ24k&amp;_nc_zt=23&amp;_nc_ht=scontent-ord5-3.cdninstagram.com&amp;edm=AL-3X8kEAAAA&amp;_nc_gid=iau8cUeaSH21b2kdgG3vgw&amp;oh=00_AfcgSKNuzJVNPkr3MIiU2rweetC6pFFFyxFLqXHzm1GSKA&amp;oe=68FE61CC</t>
  </si>
  <si>
    <t>https://www.instagram.com/p/DOnuftsE4s5/</t>
  </si>
  <si>
    <t>2025-09-15T11:10:53+0000</t>
  </si>
  <si>
    <t>18155554807380107</t>
  </si>
  <si>
    <t>The first episode of our #OurWorldConnectedPodcast Season 2 mini series is out! Host Christine Wilson revisits inspiring conversations, exploring how technology is shaping the way we live, learn, and connect. 
We share previously unheard material from guests Baroness Beebon Kidron, a digital child rights activist, renowned linguist and author David Crystal and Larisa Halilovic, Team Leader of the UK-Government funded programme, Western Balkans Media for Change.
The episode uncovers insights concerning key questions of our times: 
✨what does the emerging digital world mean for young people growing up? 
✨how can technology be designed and further regulated — including the responsibilities of governments, educators, and tech companies in keeping young people safe online? 
🎧 Listen now: https://www.britishcouncil.org/research-insight/our-world-connected-podcast/rewired-how-technology-is-changing-us-all
Image description: British Council podcast cover with colourful interconnected nodes, titled 'Our World, Connected', a bonus episode on technology's impact.
#Podcast #BritishCouncil #Technology #Digital</t>
  </si>
  <si>
    <t>https://scontent-ord5-3.cdninstagram.com/v/t51.82787-15/544436041_18527177947062390_5229616495602367148_n.jpg?stp=dst-jpg_e35_tt6&amp;_nc_cat=100&amp;ccb=1-7&amp;_nc_sid=18de74&amp;efg=eyJlZmdfdGFnIjoiRkVFRC5iZXN0X2ltYWdlX3VybGdlbi5DMyJ9&amp;_nc_ohc=36o61EOscXUQ7kNvwEqOdrv&amp;_nc_oc=AdnOWrV9zRHZhxHfH9bFp8Tb7Lgxq9iG7CJWLpcEuzQxrJ27hKkkHjkAXd7t2fs7_Ls&amp;_nc_zt=23&amp;_nc_ht=scontent-ord5-3.cdninstagram.com&amp;edm=AL-3X8kEAAAA&amp;_nc_gid=iau8cUeaSH21b2kdgG3vgw&amp;oh=00_AffsExEbD77dXq9ih81xy3c5R0d99J4347UpAnIOS9G6YA&amp;oe=68FE65AC</t>
  </si>
  <si>
    <t>https://www.instagram.com/p/DOaudaDjhMl/</t>
  </si>
  <si>
    <t>2025-09-10T10:00:30+0000</t>
  </si>
  <si>
    <t>18419672947107613</t>
  </si>
  <si>
    <t>The UNESCO 2024 Global Report on Teachers issues a clear and urgent message: the world is facing a growing teacher crisis. 
In a new Voices article, our Open Learning Manager Philippa Davies explores how the British Council’s TeachingEnglish free open learning resources for teachers and teacher educators can help. 
To read the article tap on the link in our bio britishcouncil.
Image description: Teacher giving a high five to a student near a whiteboard in a colourful classroom.
#TeacherCPD #TeachEnglish #BritishCouncil #OpenLearning</t>
  </si>
  <si>
    <t>https://scontent-ord5-1.cdninstagram.com/v/t51.82787-15/542424124_18526988362062390_5773643845742509337_n.jpg?stp=dst-jpg_e35_tt6&amp;_nc_cat=111&amp;ccb=1-7&amp;_nc_sid=18de74&amp;efg=eyJlZmdfdGFnIjoiRkVFRC5iZXN0X2ltYWdlX3VybGdlbi5DMyJ9&amp;_nc_ohc=n1vHwVmM7wwQ7kNvwGN31rn&amp;_nc_oc=AdmG4s-8cQfZILRjl3xxP138_CMvEB8EkFKbeH1UXmzAR4_XYdTq2xa3eNjA_0UXo1s&amp;_nc_zt=23&amp;_nc_ht=scontent-ord5-1.cdninstagram.com&amp;edm=AL-3X8kEAAAA&amp;_nc_gid=iau8cUeaSH21b2kdgG3vgw&amp;oh=00_AfdPHKYe5Uq7Ij6ZYpQI4LvuY2-PybxQwzobYbDYCz-YuQ&amp;oe=68FE4AD2</t>
  </si>
  <si>
    <t>https://www.instagram.com/p/DOXqvFkDAlZ/</t>
  </si>
  <si>
    <t>2025-09-09T05:30:15+0000</t>
  </si>
  <si>
    <t>17970354455947107</t>
  </si>
  <si>
    <t>What does AI mean for music? The Selector Behind The Music podcast spoke to UK Music chief Tom Kiehl about how AI is impacting the music industry, and got the view from India. 
🎧 To listen, just tap on the link in our bio britishcouncil.
Image description: Audio engineer wearing headphones adjusts controls on a large mixing console in a dimly lit recording studio.
#MusicIndustry #AI #BritishCouncil #India</t>
  </si>
  <si>
    <t>https://scontent-ord5-2.cdninstagram.com/v/t51.82787-15/544344723_18526824055062390_3564219817751214238_n.jpg?stp=dst-jpg_e35_tt6&amp;_nc_cat=103&amp;ccb=1-7&amp;_nc_sid=18de74&amp;efg=eyJlZmdfdGFnIjoiRkVFRC5iZXN0X2ltYWdlX3VybGdlbi5DMyJ9&amp;_nc_ohc=LgtWCHwzK_MQ7kNvwEkbMYJ&amp;_nc_oc=AdldntLPUtP9SYqB7vIztwiw_PmXyiFMLkwwuAMJ9ifuWGN_7ierMcnpyIqvtTq3riQ&amp;_nc_zt=23&amp;_nc_ht=scontent-ord5-2.cdninstagram.com&amp;edm=AL-3X8kEAAAA&amp;_nc_gid=iau8cUeaSH21b2kdgG3vgw&amp;oh=00_AfeSwf6hUszOogWxA2EJm6tp-BqBUFx5nuJ_9e26SehHLw&amp;oe=68FE5714</t>
  </si>
  <si>
    <t>https://www.instagram.com/p/DOVTrJ5DLfh/</t>
  </si>
  <si>
    <t>2025-09-08T07:30:15+0000</t>
  </si>
  <si>
    <t>17979726848908977</t>
  </si>
  <si>
    <t>👩‍🎓👨‍🎓 Calling all international alumni from UK universities! 
Share your success, raise your global profile and get the chance to win a trip to the UK - apply for the #StudyUKAlumniAwards today. Visit the Study UK website or search Study UK Alumni Awards.
🔗 Website link in our bio britishcouncil.
Photo of Trinh Khanh Ha, Business and Innovation Study UK Alumni Award Winner from Vietnam. Text says: Study UK Alumni Awards. "The awards are a great opportunity to get connected and to be inspired by other UK alumni." Great Campaign and British Council logos are included.
#BritishCouncil #StudyUK</t>
  </si>
  <si>
    <t>https://scontent-ord5-1.cdninstagram.com/v/t51.82787-15/542482351_18525614656062390_1296100462902600707_n.jpg?stp=dst-jpg_e35_tt6&amp;_nc_cat=111&amp;ccb=1-7&amp;_nc_sid=18de74&amp;efg=eyJlZmdfdGFnIjoiRkVFRC5iZXN0X2ltYWdlX3VybGdlbi5DMyJ9&amp;_nc_ohc=Jrt2A_D1KtsQ7kNvwHWkm4n&amp;_nc_oc=AdmvQrg4lW-xGJ5Gas3qTpLwgsyf6d8ZGX52Z5Fe1wXkJ88wO97PWyd24TrIYMXoLrE&amp;_nc_zt=23&amp;_nc_ht=scontent-ord5-1.cdninstagram.com&amp;edm=AL-3X8kEAAAA&amp;_nc_gid=iau8cUeaSH21b2kdgG3vgw&amp;oh=00_AffYCEbZNk2sowW3-nwUcyNm546kinlqxUq83FYHs9idBQ&amp;oe=68FE7E3D</t>
  </si>
  <si>
    <t>https://www.instagram.com/p/DOIs6I9Dpay/</t>
  </si>
  <si>
    <t>2025-09-03T10:00:37+0000</t>
  </si>
  <si>
    <t>18088693693695673</t>
  </si>
  <si>
    <t>💪 Our #UK/PolandSeason 2025 is back in full force this September! 💪 
This month, we have over 15 new events filled with knowledge, music, and art. 
In the UK, you can enjoy: 
🎭 Theatre is Freedom ➡ 5 - 27 September, London 
️🖼️ Exhibition ‘Radical Hope’ ➡ 13 September - 8 November, Belfast 
🎶 Polish Jazz Festival London 2025 ➡ 15 - 29 September, London 
📽️ Film ‘Wuthering Heights: Cathy’s Modern Manifesto’ by Mind the Gap &amp; Theatre 21 ➡ 19 September, Bradford 
🎶 My Life - Zbigniew Preisner’s Music featuring Lisa Gerrard ➡ 28 September, Belfast.
And in Poland:
🤓 Kem School 2025: Workshop &amp; Performance with Eve Stainton ➡ 2 - 5 September, Warsaw 
🤓 International Orchestras Conference: Orchestras Now! ➡ 3 - 5 September, Wrocław 
🤓 Generation After. Showcase ➡ 4 - 6 September, Warsaw 
📽️ Film ‘One to One: John &amp; Yoko’ - premiere in Poland ➡ 5 September, Warsaw 
📽️ Film ‘Wuthering Heights: Cathy’s Modern Manifesto’ by Mind the Gap &amp; Theatre 21 ➡ 6 September, Warsaw 
📖 Polish premiere of two books by Griselda Pollock ➡ 9 September, Warsaw 
🎶 IN THE DEPTH: new British experimental and avant-garde music and art at the Avant Art Festival ➡ 9 - 14 September, Wrocław ➡ 16 - 21 September, Warsaw ➡ 23 - 28 September, Lulin 
📸 Night of Photography ➡ 12 September, Warsaw 
🎶 Evadney at Wolniej Festival ➡ 19 September, Warsaw 
🎶 London Sinfonietta at Warsaw Autumn ➡ 20 September, Warsaw 
🎶 Peaceline Perspectives in association with Warsaw Autumn ➡ 25 September, Warsaw.
In partnership with mickiewicz_institute and polish_culture.
Find out more about the events on our website - tap on the link in our bio britishcouncil.
#Poland #BritishCouncil #CultureConnectsUs</t>
  </si>
  <si>
    <t>https://scontent-ord5-3.cdninstagram.com/v/t51.82787-15/540625311_18525201931062390_6294927167525510945_n.jpg?stp=dst-jpg_e35_tt6&amp;_nc_cat=106&amp;ccb=1-7&amp;_nc_sid=18de74&amp;efg=eyJlZmdfdGFnIjoiQ0FST1VTRUxfSVRFTS5iZXN0X2ltYWdlX3VybGdlbi5DMyJ9&amp;_nc_ohc=8JArDDE2bpoQ7kNvwEuPDhP&amp;_nc_oc=AdmIK62JbM8_x0aUoRQtdisXmvBasKxiOrOwzoBhi141FFleH-V6vzIfx9vgA5-_C14&amp;_nc_zt=23&amp;_nc_ht=scontent-ord5-3.cdninstagram.com&amp;edm=AL-3X8kEAAAA&amp;_nc_gid=iau8cUeaSH21b2kdgG3vgw&amp;oh=00_AfcxXQ8El8itZlt4xCzrZigzZ5wqIdTM4qowaKlZ7k-kaw&amp;oe=68FE7DD6</t>
  </si>
  <si>
    <t>https://www.instagram.com/p/DODVoo-jrEp/</t>
  </si>
  <si>
    <t>2025-09-01T08:01:27+0000</t>
  </si>
  <si>
    <t>18305934409217853</t>
  </si>
  <si>
    <t>Learning a language has so many benefits - just listen to these young people, who took part in our #MandarinExcellence trip to China, describe how they see Mandarin in their future.
Since 2016, the programme has helped more than 16,000 school pupils in England get on track to fluency in #Mandarin.
To find out more, just tap on the link in our bio britishcouncil.
 #LanguageLearning #China #BritishCouncil</t>
  </si>
  <si>
    <t>https://scontent-ord5-3.cdninstagram.com/o1/v/t2/f2/m86/AQMjlCTPV7jLIX8Tfo9C2r2glU0oc36sGRtTPUzSgicUqYg4yT14g7MYa-Hos-ZlVrhblVZYrcKQ8d7chtAIbdEFYq3iGtkWb_y7J0w.mp4?_nc_cat=100&amp;_nc_sid=5e9851&amp;_nc_ht=scontent-ord5-3.cdninstagram.com&amp;_nc_ohc=cXUeZopGAXwQ7kNvwF9HXbq&amp;efg=eyJ2ZW5jb2RlX3RhZyI6Inhwdl9wcm9ncmVzc2l2ZS5JTlNUQUdSQU0uQ0xJUFMuQzMuNzIwLmRhc2hfYmFzZWxpbmVfMV92MSIsInhwdl9hc3NldF9pZCI6MTEyNDc1MzcyOTY0Nzk1MCwidmlfdXNlY2FzZV9pZCI6MTAwOTksImR1cmF0aW9uX3MiOjM5LCJ1cmxnZW5fc291cmNlIjoid3d3In0%3D&amp;ccb=17-1&amp;vs=2808c6052320615a&amp;_nc_vs=HBksFQIYUmlnX3hwdl9yZWVsc19wZXJtYW5lbnRfc3JfcHJvZC85RDQ0NkM3QjM4NDVBMzFEOTMwNDM5NzY0OUU3OTFBNF92aWRlb19kYXNoaW5pdC5tcDQVAALIARIAFQIYOnBhc3N0aHJvdWdoX2V2ZXJzdG9yZS9HTHRvS2lEMUs1TEx1VzRPQUhlR0E5eE93S1o5YnFfRUFBQUYVAgLIARIAKAAYABsCiAd1c2Vfb2lsATEScHJvZ3Jlc3NpdmVfcmVjaXBlATEVAAAmnNWfqKS9_wMVAigCQzMsF0BD9cKPXCj2GBJkYXNoX2Jhc2VsaW5lXzFfdjERAHX-B2XmnQEA&amp;_nc_gid=iau8cUeaSH21b2kdgG3vgw&amp;edm=AL-3X8kEAAAA&amp;_nc_zt=28&amp;oh=00_AfdBJXjcr13lGmJ4JPlzImmnLKO7MDOpcPt3Nsh2xYQTOQ&amp;oe=68FA87B5</t>
  </si>
  <si>
    <t>https://scontent-ord5-3.cdninstagram.com/v/t51.82787-15/541155263_18524633929062390_40668696270092502_n.jpg?stp=dst-jpg_e35_tt6&amp;_nc_cat=104&amp;ccb=1-7&amp;_nc_sid=18de74&amp;efg=eyJlZmdfdGFnIjoiQ0xJUFMuYmVzdF9pbWFnZV91cmxnZW4uQzMifQ%3D%3D&amp;_nc_ohc=GVPYa6HIgEIQ7kNvwFapSo1&amp;_nc_oc=AdnV06HzjElaFQcCchOlSmSJ7NbhkjftwK9A63aB1GwUMNu8ALdILfoZLFpghhD8J-E&amp;_nc_zt=23&amp;_nc_ht=scontent-ord5-3.cdninstagram.com&amp;edm=AL-3X8kEAAAA&amp;_nc_gid=iau8cUeaSH21b2kdgG3vgw&amp;oh=00_AffgIfhY11PO2IHtX_WbyE7oilJ0nrDhDLMtYEDRF_TGXg&amp;oe=68FE6B4A</t>
  </si>
  <si>
    <t>https://www.instagram.com/reel/DN7mnC1jYrg/</t>
  </si>
  <si>
    <t>2025-08-29T08:00:28+0000</t>
  </si>
  <si>
    <t>18054556694408124</t>
  </si>
  <si>
    <t>📢 Calling all creatives who want to make a difference! 
Climate Adaptation for Creatives is a free online programme exploring how the arts can contribute to climate and environmental action.
🔗Apply by 7 September - the link is in britishcouncileurope bio! Criteria apply.
In partnership with blackmountainscollege 
Image description: Close-up of green shelves holding clear containers with sprouting seeds, promoting a climate adaptation online programme for creatives by the British Council and Black Mountains College.
#ClimateAction #Creatives #BritishCouncil</t>
  </si>
  <si>
    <t>https://scontent-ord5-1.cdninstagram.com/v/t51.82787-15/540160663_18524456821062390_9012307397504593803_n.jpg?stp=dst-jpg_e35_tt6&amp;_nc_cat=101&amp;ccb=1-7&amp;_nc_sid=18de74&amp;efg=eyJlZmdfdGFnIjoiRkVFRC5iZXN0X2ltYWdlX3VybGdlbi5DMyJ9&amp;_nc_ohc=1EJaveYrPigQ7kNvwFV8p_6&amp;_nc_oc=AdkUirc7-96sVbUwBIaq8cb4tn4bJx6fvsm8RVJP6gupxi2N4quhyMw9giD3tYjL3h8&amp;_nc_zt=23&amp;_nc_ht=scontent-ord5-1.cdninstagram.com&amp;edm=AL-3X8kEAAAA&amp;_nc_gid=iau8cUeaSH21b2kdgG3vgw&amp;oh=00_Afep7q3NvzNpwcozAMxZu3TB5JCJV0cQl18rGUt_Iar4PA&amp;oe=68FE5D29</t>
  </si>
  <si>
    <t>https://www.instagram.com/p/DN5Cc3fDt80/</t>
  </si>
  <si>
    <t>2025-08-28T08:01:02+0000</t>
  </si>
  <si>
    <t>18102846907599065</t>
  </si>
  <si>
    <t>Congratulations to our #StudyUKAlumniAwards 2025 global winners!
The Awards recognise outstanding achievements made by UK alumni and celebrate the impact of UK higher education on successful individuals and those around them.
Find out more about our winners - just tap on the link in our bio britishcouncil.
#BritishCouncil #StudyUK #HE</t>
  </si>
  <si>
    <t>https://scontent-ord5-1.cdninstagram.com/v/t51.82787-15/540301158_18524298532062390_9015895109154067936_n.jpg?stp=dst-jpg_e35_tt6&amp;_nc_cat=111&amp;ccb=1-7&amp;_nc_sid=18de74&amp;efg=eyJlZmdfdGFnIjoiRkVFRC5iZXN0X2ltYWdlX3VybGdlbi5DMyJ9&amp;_nc_ohc=MRMefjaWWdsQ7kNvwF0R183&amp;_nc_oc=AdkIf8QDod1zN1n7DEEOoT2pGWQHFWPp_pOom0zAbWv5Y_d51jTqeg8igTZmf-qJlZA&amp;_nc_zt=23&amp;_nc_ht=scontent-ord5-1.cdninstagram.com&amp;edm=AL-3X8kEAAAA&amp;_nc_gid=iau8cUeaSH21b2kdgG3vgw&amp;oh=00_Afd9CPXGU2OV0BlAUqooHBIAAyTS4S8ulDOWvqJ7lfnrfA&amp;oe=68FE6494</t>
  </si>
  <si>
    <t>https://www.instagram.com/p/DN2rYu5WLss/</t>
  </si>
  <si>
    <t>2025-08-27T10:01:00+0000</t>
  </si>
  <si>
    <t>18060137174366387</t>
  </si>
  <si>
    <t>Could welcoming learners’ own languages into the classroom be the key to greater inclusion and more effective learning? In our latest Voices article, teacher-researcher Huma Riaz explores how plurilingualism can create richer, more supportive English language learning experiences.
To find out what she has to say, just tap the link in our bio britishcouncil. 
#EnglishLanguageTeaching #ELT #BritishCouncil #LanguageTeaching</t>
  </si>
  <si>
    <t>https://scontent-ord5-2.cdninstagram.com/v/t51.82787-15/539046945_18524093803062390_125943376815714810_n.jpg?stp=dst-jpg_e35_tt6&amp;_nc_cat=103&amp;ccb=1-7&amp;_nc_sid=18de74&amp;efg=eyJlZmdfdGFnIjoiRkVFRC5iZXN0X2ltYWdlX3VybGdlbi5DMyJ9&amp;_nc_ohc=QbYjDx5zWkcQ7kNvwG6Zpfr&amp;_nc_oc=AdlgrT17HRkcT-P-b3GohWLUUPdaVxWPtd67VvzAnomLvsQb__yK4NoV32OcH32uvEM&amp;_nc_zt=23&amp;_nc_ht=scontent-ord5-2.cdninstagram.com&amp;edm=AL-3X8kEAAAA&amp;_nc_gid=iau8cUeaSH21b2kdgG3vgw&amp;oh=00_AffXuT_UZKevTiRvmybXh1cvw2A9F2aEhYXKRqzM1e1tyA&amp;oe=68FE5B67</t>
  </si>
  <si>
    <t>https://www.instagram.com/p/DNzrEmTXMzi/</t>
  </si>
  <si>
    <t>2025-08-26T06:00:32+0000</t>
  </si>
  <si>
    <t>18161638090375168</t>
  </si>
  <si>
    <t>🎵 This week, our team at Selector Radio are taking us to the Reading &amp; Leeds Festival! 
They also have a Tastemaker Tip from xlucytessx, telling us about _launchpadmusic launchpadplus and the emerging talent scene across the North of England.
Plus an After Dark Preview from Bristol producer milly_on_air_, delivering her signature balearic-to-rave euphoria!
There's also fresh new music from Elmiene, Westside Cowboy, Bring Me The Horizon, and Katy B. 
🎧 Tap the link in our bio britishcouncil to listen.
#NewMusic #BritishCouncil #SelectorRadio #Radio</t>
  </si>
  <si>
    <t>https://scontent-ord5-3.cdninstagram.com/v/t51.82787-15/537019991_18523446805062390_3071309215395559888_n.jpg?stp=dst-jpg_e35_tt6&amp;_nc_cat=106&amp;ccb=1-7&amp;_nc_sid=18de74&amp;efg=eyJlZmdfdGFnIjoiQ0FST1VTRUxfSVRFTS5iZXN0X2ltYWdlX3VybGdlbi5DMyJ9&amp;_nc_ohc=mTXTSIxTu34Q7kNvwHF71BU&amp;_nc_oc=AdnWKTeWMagDltqdE0dAvNSP5HJueLSeIJHp2gGZFyarlZfAv2iN97wrPW4Ta7f3a10&amp;_nc_zt=23&amp;_nc_ht=scontent-ord5-3.cdninstagram.com&amp;edm=AL-3X8kEAAAA&amp;_nc_gid=iau8cUeaSH21b2kdgG3vgw&amp;oh=00_AfeKYjBrykuneBO6K2E2qHms3AroTaYzSgKbYkM6hbZfWg&amp;oe=68FE71A2</t>
  </si>
  <si>
    <t>https://www.instagram.com/p/DNqNrsjszS2/</t>
  </si>
  <si>
    <t>2025-08-22T13:50:48+0000</t>
  </si>
  <si>
    <t>18089596249685078</t>
  </si>
  <si>
    <t>Opening tomorrow! The Re-Roll Installation – a showcase of sustainable fashion, visual arts, and architecture, co-created by designers from Africa and Central Saint Martins students - will be at the White Brick Showroom in London until 24 August.
Backed by the British Council and partners, A+ Agency and ReWeave.
See the image for more details!
#Design #London #BritishCouncil #AfricaDesign #CentralSaintMartins</t>
  </si>
  <si>
    <t>https://scontent-ord5-2.cdninstagram.com/v/t51.82787-15/535209984_18523217524062390_3420821865258656460_n.jpg?stp=dst-jpg_e35_tt6&amp;_nc_cat=103&amp;ccb=1-7&amp;_nc_sid=18de74&amp;efg=eyJlZmdfdGFnIjoiRkVFRC5iZXN0X2ltYWdlX3VybGdlbi5DMyJ9&amp;_nc_ohc=7jFH7fW9vyIQ7kNvwGyO8yT&amp;_nc_oc=AdkKqKctHKAfW6omUa1AkxdonIgbt2ks5azOup6hyLFUhPeickNfKNQ6Tq3gCTnuy9I&amp;_nc_zt=23&amp;_nc_ht=scontent-ord5-2.cdninstagram.com&amp;edm=AL-3X8kEAAAA&amp;_nc_gid=iau8cUeaSH21b2kdgG3vgw&amp;oh=00_AffZXVE-1ct4HQaI63xYFhTCr_kvTvCrzUKA9jtje7nrGQ&amp;oe=68FE57D7</t>
  </si>
  <si>
    <t>https://www.instagram.com/p/DNnNFBHuUKa/</t>
  </si>
  <si>
    <t>2025-08-21T09:47:33+0000</t>
  </si>
  <si>
    <t>17955301463849155</t>
  </si>
  <si>
    <t>Learning Sectors, our international STEM programme supported by Formula 1, is open for applications from schools until 12 September. Don’t miss out on exciting international partnership learning for your students. Apply today - full details via the link in our bio britishcouncil.
Images: 1. A group of young people looking at computer screens. 2. An image of a racing car. British Council logo. Text says Learning Sectors. Supported by Formula 1. Inspiring the next generation. 3. A group of young people outside an F1-branded building.
#BritishCouncil #Schools #LearningSectors #STEM</t>
  </si>
  <si>
    <t>https://scontent-ord5-3.cdninstagram.com/v/t51.82787-15/534827048_18523053781062390_3164137964546611760_n.jpg?stp=dst-jpg_e35_tt6&amp;_nc_cat=109&amp;ccb=1-7&amp;_nc_sid=18de74&amp;efg=eyJlZmdfdGFnIjoiQ0FST1VTRUxfSVRFTS5iZXN0X2ltYWdlX3VybGdlbi5DMyJ9&amp;_nc_ohc=e1tcn7qWP3oQ7kNvwHteOdc&amp;_nc_oc=AdkLtnivLlxKSWr7f_K6LAI24XmavTmMITVEjUgcepXBLdGkPlqLsSpY0gKhiRvJYEo&amp;_nc_zt=23&amp;_nc_ht=scontent-ord5-3.cdninstagram.com&amp;edm=AL-3X8kEAAAA&amp;_nc_gid=iau8cUeaSH21b2kdgG3vgw&amp;oh=00_AfdGWacDuOg_welS5LEdbGDXt86_RclEYIQa0HMJ7N8-Sw&amp;oe=68FE4FF1</t>
  </si>
  <si>
    <t>https://www.instagram.com/p/DNkp3Kbsc9b/</t>
  </si>
  <si>
    <t>2025-08-20T10:01:36+0000</t>
  </si>
  <si>
    <t>18061953419038276</t>
  </si>
  <si>
    <t>We're looking forward to our UK/Brazil Season of Culture! And yesterday saw its Edinburgh launch -  marking 200 years of diplomatic relations.
From 'Tom at the Farm' EdFringe to Brazilian pipers at Edinburgh's Ross Bandstand, a year of cultural exchange has begun 👏
🔗 Discover the #UKBRSeason today via the link in our bio britishcouncil.
Image: A large group of people gathered on stone steps outside a historic building, some wearing kilts and formal attire, others in casual clothes, holding flags and banners.
#Brazil #BritishCouncil #CultureConnectsUs</t>
  </si>
  <si>
    <t>https://scontent-ord5-2.cdninstagram.com/v/t51.82787-15/534814789_18522922729062390_669172256501845772_n.jpg?stp=dst-jpg_e35_tt6&amp;_nc_cat=110&amp;ccb=1-7&amp;_nc_sid=18de74&amp;efg=eyJlZmdfdGFnIjoiRkVFRC5iZXN0X2ltYWdlX3VybGdlbi5DMyJ9&amp;_nc_ohc=WX9uNx5MqIMQ7kNvwF1wgra&amp;_nc_oc=AdmGoNKMXE76801LCQ_C-qbWUDL54Lx6kBvcDkFegLyh_RlMPWb7yUdRwT7R6RvRmCg&amp;_nc_zt=23&amp;_nc_ht=scontent-ord5-2.cdninstagram.com&amp;edm=AL-3X8kEAAAA&amp;_nc_gid=iau8cUeaSH21b2kdgG3vgw&amp;oh=00_AffYZCyWJhA-yHBw6dT1fF-MtZivbrCG9nET3QK2l-94bw&amp;oe=68FE6282</t>
  </si>
  <si>
    <t>https://www.instagram.com/p/DNigreqM-sg/</t>
  </si>
  <si>
    <t>2025-08-19T14:02:37+0000</t>
  </si>
  <si>
    <t>17927580498069887</t>
  </si>
  <si>
    <t>A new report has found that international students are the UK’s BFFs! We asked Reesha Alvi to tell us why international students who study in the UK become supporters of the UK for life. Find out what she had to say by clicking on the link in our bio britishcouncil.
Image: Students chatting outside a university building.
#HE #InternationalStudents #BritishCouncil #SoftPower</t>
  </si>
  <si>
    <t>https://scontent-ord5-3.cdninstagram.com/v/t51.82787-15/535176107_18522779890062390_8892907385502001058_n.jpg?stp=dst-jpg_e35_tt6&amp;_nc_cat=104&amp;ccb=1-7&amp;_nc_sid=18de74&amp;efg=eyJlZmdfdGFnIjoiRkVFRC5iZXN0X2ltYWdlX3VybGdlbi5DMyJ9&amp;_nc_ohc=Sq9AV7TK4TMQ7kNvwGfT1C1&amp;_nc_oc=Adl0cW_NNjaCHxt1k-_-Z3gfQT2xMis1m8jW8yFu8U7dHpOwWpvgWbFTOD89_jwXJ0g&amp;_nc_zt=23&amp;_nc_ht=scontent-ord5-3.cdninstagram.com&amp;edm=AL-3X8kEAAAA&amp;_nc_gid=iau8cUeaSH21b2kdgG3vgw&amp;oh=00_Aff5f_Hpjm-8tnhcSsSlpI_r6EdldH-7NNFHXYwKX-UStg&amp;oe=68FE5ED1</t>
  </si>
  <si>
    <t>https://www.instagram.com/p/DNgJgmFMm1E/</t>
  </si>
  <si>
    <t>2025-08-18T16:01:41+0000</t>
  </si>
  <si>
    <t>17905324941215218</t>
  </si>
  <si>
    <t>🌐 Our latest Voices e-newsletter will be out soon! If you want fresh perspectives on education and culture from around the world, sign up for free now, just head to the link in our bio britishcouncil.
#BritishCouncil #Newsletter #Culture #Education #InternationalRelations</t>
  </si>
  <si>
    <t>https://scontent-ord5-3.cdninstagram.com/v/t51.82787-15/534313128_18522175834062390_2064340960477015186_n.jpg?stp=dst-jpg_e35_tt6&amp;_nc_cat=104&amp;ccb=1-7&amp;_nc_sid=18de74&amp;efg=eyJlZmdfdGFnIjoiQ0FST1VTRUxfSVRFTS5iZXN0X2ltYWdlX3VybGdlbi5DMyJ9&amp;_nc_ohc=0zPDPavYcOoQ7kNvwG2jiYU&amp;_nc_oc=AdlI6COUw687jHqlYb9ElkDqVxaqHg6atAziiltiMOMc0ehAHvldh1c_dMT5TkNolQg&amp;_nc_zt=23&amp;_nc_ht=scontent-ord5-3.cdninstagram.com&amp;edm=AL-3X8kEAAAA&amp;_nc_gid=iau8cUeaSH21b2kdgG3vgw&amp;oh=00_AfeyaAz9siElVDOwt7v8DFnAgQvuPdnSlsOOEEVbOCRYkA&amp;oe=68FE4E62</t>
  </si>
  <si>
    <t>https://www.instagram.com/p/DNXdNEOsKGv/</t>
  </si>
  <si>
    <t>2025-08-15T07:00:51+0000</t>
  </si>
  <si>
    <t>18075064933825616</t>
  </si>
  <si>
    <t>Did you study with a UK university as an international student? Sign up for Alumni UK’s Skills Series – a FREE, expert-led webinar series designed to strengthen your professional skills. 
Coming up: Presentation Skills: Storytelling Techniques in Presentations
📅 Wednesday 10 September 🕑 14:00 BST
🎯 Learn to craft compelling narratives, connect emotionally with your audience, and make your presentations truly memorable.
👉 Register now - just head to the link in our bio britishcouncil.
#AlumniUK #SkillsSeries #PresentationSkills #ProfessionalDevelopment #BritishCouncil</t>
  </si>
  <si>
    <t>https://scontent-ord5-2.cdninstagram.com/v/t51.82787-15/532012534_18522032404062390_9161467169260016225_n.jpg?stp=dst-jpg_e35_tt6&amp;_nc_cat=110&amp;ccb=1-7&amp;_nc_sid=18de74&amp;efg=eyJlZmdfdGFnIjoiRkVFRC5iZXN0X2ltYWdlX3VybGdlbi5DMyJ9&amp;_nc_ohc=3AnndFRfCjgQ7kNvwGd7juA&amp;_nc_oc=Adlipk2m_2ns0xnwa4fW7seAZ21QwLFFQdgys_lPktTCM1aaLK97zVWVMPZc4HgYVuc&amp;_nc_zt=23&amp;_nc_ht=scontent-ord5-2.cdninstagram.com&amp;edm=AL-3X8kEAAAA&amp;_nc_gid=iau8cUeaSH21b2kdgG3vgw&amp;oh=00_AffGH_lLmC9pp3fSI12hC_Ru6ybR0YgVwMcggQQ0LQG8zw&amp;oe=68FE4A9D</t>
  </si>
  <si>
    <t>https://www.instagram.com/p/DNVonNLsppr/</t>
  </si>
  <si>
    <t>2025-08-14T14:01:49+0000</t>
  </si>
  <si>
    <t>18060027773521191</t>
  </si>
  <si>
    <t>The UK will take centre stage as Guest of Honour at the 53rd edition of the Festival Internacional Cervantino in Mexico!
The special moment arrives a full decade after the UK-MX Dual Year (The Year of the UK in Mexico and The Year of Mexico in the UK), reaffirming a long-term commitment to foster mutual understanding and support sustainable cultural exchange.
The British Council’s relationship with Cervantino began in 2015 and has evolved from collaboration to long-term transformation, contributing to a new model for cultural festivals, placing audiences at their heart and highlighting the role of culture in addressing global challenges.
👉Find out more about Cervantino 2025 via the link in our bio britishcouncil.
#UKCervantino2025 #53FIC #BritishCouncil #CreativeLeadership #SustainableCulture #CulturalExchange #ArtsAndIdeas #FICMxUK2025 #BritishCouncilAtFIC</t>
  </si>
  <si>
    <t>https://scontent-ord5-1.cdninstagram.com/v/t51.82787-15/531078064_18521833807062390_6888033536837173480_n.jpg?stp=dst-jpg_e35_tt6&amp;_nc_cat=111&amp;ccb=1-7&amp;_nc_sid=18de74&amp;efg=eyJlZmdfdGFnIjoiQ0FST1VTRUxfSVRFTS5iZXN0X2ltYWdlX3VybGdlbi5DMyJ9&amp;_nc_ohc=qJictmvwvf0Q7kNvwF7Jsbg&amp;_nc_oc=Adm5KtOWb3Ut9Hc49kGL6W6S2YiEUcXBn2LjdpvLYDJZsEDCXfupLp9iTZuJjNuYSkc&amp;_nc_zt=23&amp;_nc_ht=scontent-ord5-1.cdninstagram.com&amp;edm=AL-3X8kEAAAA&amp;_nc_gid=iau8cUeaSH21b2kdgG3vgw&amp;oh=00_AfcQH2DucAAm-5L9IWFkEJTHGASkmjKDS55QwNDw1-wYFg&amp;oe=68FE5FC0</t>
  </si>
  <si>
    <t>https://www.instagram.com/p/DNSoW1iuCW0/</t>
  </si>
  <si>
    <t>2025-08-13T10:02:06+0000</t>
  </si>
  <si>
    <t>17870156739420661</t>
  </si>
  <si>
    <t>https://scontent-ord5-1.cdninstagram.com/v/t51.82787-15/532183789_18521833717062390_5818896731401819265_n.jpg?stp=dst-jpg_e35_tt6&amp;_nc_cat=101&amp;ccb=1-7&amp;_nc_sid=18de74&amp;efg=eyJlZmdfdGFnIjoiQ0FST1VTRUxfSVRFTS5iZXN0X2ltYWdlX3VybGdlbi5DMyJ9&amp;_nc_ohc=WUAE_5TEJvAQ7kNvwHBmKAV&amp;_nc_oc=AdkanxMppy79g7s9g25oRs-mUkvsBkUogjWI2PoVzdn9_xeDgn-HcQtl9Dnex7K4dJo&amp;_nc_zt=23&amp;_nc_ht=scontent-ord5-1.cdninstagram.com&amp;edm=AL-3X8kEAAAA&amp;_nc_gid=iau8cUeaSH21b2kdgG3vgw&amp;oh=00_AfeGV9Ap076nyfDwBY4S7RIKUQ6C7j9Ha4x3eWGWAWoZFw&amp;oe=68FE6A83</t>
  </si>
  <si>
    <t>https://www.instagram.com/p/DNSoSq-MjRS/</t>
  </si>
  <si>
    <t>2025-08-13T10:01:30+0000</t>
  </si>
  <si>
    <t>18073702469055076</t>
  </si>
  <si>
    <t>Are young people silent observers of global affairs, or are they already reshaping the world in quiet, powerful ways? For #InternationalYouthDay, Izzah Meyer has drawn on the British Council’s #NextGeneration research to explore a generation that is more connected, more cooperative, and more globally minded than ever before - read what she has to say via the link in our bio britishcouncil. 
#IYD2025 #BritishCouncil #DigitalNatives</t>
  </si>
  <si>
    <t>https://scontent-ord5-3.cdninstagram.com/v/t51.82787-15/531217867_18521651920062390_8631097097186543850_n.jpg?stp=dst-jpg_e35_tt6&amp;_nc_cat=104&amp;ccb=1-7&amp;_nc_sid=18de74&amp;efg=eyJlZmdfdGFnIjoiRkVFRC5iZXN0X2ltYWdlX3VybGdlbi5DMyJ9&amp;_nc_ohc=NDtaAr5bA0oQ7kNvwFY_Wbp&amp;_nc_oc=AdkDhhkjZUd80HzQ9YCXnwVYTUIoyS66RzlZKCRlbrjURgMNgVyPuPZN0OGkSf_YCzE&amp;_nc_zt=23&amp;_nc_ht=scontent-ord5-3.cdninstagram.com&amp;edm=AL-3X8kEAAAA&amp;_nc_gid=iau8cUeaSH21b2kdgG3vgw&amp;oh=00_Afc5IsOri2bz24qFsBA2MQZVdFR1gW_5Y9gweWA4n8t46w&amp;oe=68FE515C</t>
  </si>
  <si>
    <t>https://www.instagram.com/p/DNP5FxUM_eX/</t>
  </si>
  <si>
    <t>2025-08-12T08:30:21+0000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</si>
</sst>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mmm\-yyyy"/>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xf>
    <xf numFmtId="176" fontId="0" fillId="0" borderId="0" xfId="0" applyNumberFormat="1">
      <alignment vertical="center"/>
    </xf>
    <xf numFmtId="0" fontId="0" fillId="0" borderId="0" xfId="0" applyAlignment="1"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1"/>
  <sheetViews>
    <sheetView tabSelected="1" zoomScaleSheetLayoutView="60" topLeftCell="C1" workbookViewId="0">
      <selection activeCell="J8" sqref="J8"/>
    </sheetView>
  </sheetViews>
  <sheetFormatPr defaultColWidth="8.4375" defaultRowHeight="16.8"/>
  <cols>
    <col min="1" max="1" width="17.8359375" customWidth="1"/>
    <col min="3" max="3" width="16.796875" customWidth="1"/>
    <col min="4" max="4" width="15.1015625" customWidth="1"/>
    <col min="8" max="8" width="24.7421875" customWidth="1"/>
    <col min="9" max="9" width="14.96875" customWidth="1"/>
    <col min="10" max="10" width="15.234375" customWidth="1"/>
    <col min="11" max="11" width="15.1015625" customWidth="1"/>
    <col min="12" max="12" width="12.6875"/>
    <col min="13" max="13" width="13.929687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s="3" t="s">
        <v>15</v>
      </c>
      <c r="B2" s="1" t="s">
        <v>16</v>
      </c>
      <c r="C2" s="1" t="s">
        <v>17</v>
      </c>
      <c r="D2" s="1" t="s">
        <v>18</v>
      </c>
      <c r="E2" s="1" t="s">
        <v>19</v>
      </c>
      <c r="F2" s="1"/>
      <c r="G2" s="1" t="s">
        <v>20</v>
      </c>
      <c r="H2" s="1" t="s">
        <v>21</v>
      </c>
      <c r="I2" s="1">
        <v>5</v>
      </c>
      <c r="J2" s="1">
        <v>0</v>
      </c>
      <c r="K2">
        <f>LEN(B2)</f>
        <v>489</v>
      </c>
      <c r="L2" s="2">
        <f>(DATEVALUE(LEFT(H2,10))+TIMEVALUE(MID(H2,12,8)))+(7/24)</f>
        <v>45952.6254282407</v>
      </c>
      <c r="M2" t="str">
        <f>TEXT(L2,"mmmm")</f>
        <v>October</v>
      </c>
      <c r="N2">
        <f>VALUE(MID(H2,12,2))</f>
        <v>8</v>
      </c>
      <c r="O2">
        <f>LEN(B2)-LEN(SUBSTITUTE(B2,"#",""))</f>
        <v>5</v>
      </c>
    </row>
    <row r="3" spans="1:15">
      <c r="A3" s="3" t="s">
        <v>22</v>
      </c>
      <c r="B3" s="1" t="s">
        <v>23</v>
      </c>
      <c r="C3" s="1" t="s">
        <v>17</v>
      </c>
      <c r="D3" s="1" t="s">
        <v>18</v>
      </c>
      <c r="E3" s="1" t="s">
        <v>24</v>
      </c>
      <c r="F3" s="1"/>
      <c r="G3" s="1" t="s">
        <v>25</v>
      </c>
      <c r="H3" s="1" t="s">
        <v>26</v>
      </c>
      <c r="I3" s="1">
        <v>60</v>
      </c>
      <c r="J3" s="1">
        <v>5</v>
      </c>
      <c r="K3">
        <f t="shared" ref="K3:K34" si="0">LEN(B3)</f>
        <v>197</v>
      </c>
      <c r="L3" s="2">
        <f t="shared" ref="L3:L34" si="1">(DATEVALUE(LEFT(H3,10))+TIMEVALUE(MID(H3,12,8)))+(7/24)</f>
        <v>45951.8761342593</v>
      </c>
      <c r="M3" t="str">
        <f t="shared" ref="M3:M34" si="2">TEXT(L3,"mmmm")</f>
        <v>October</v>
      </c>
      <c r="N3">
        <f t="shared" ref="N3:N34" si="3">VALUE(MID(H3,12,2))</f>
        <v>14</v>
      </c>
      <c r="O3">
        <f t="shared" ref="O3:O34" si="4">LEN(B3)-LEN(SUBSTITUTE(B3,"#",""))</f>
        <v>1</v>
      </c>
    </row>
    <row r="4" spans="1:15">
      <c r="A4" s="3" t="s">
        <v>27</v>
      </c>
      <c r="B4" s="1" t="s">
        <v>28</v>
      </c>
      <c r="C4" s="1" t="s">
        <v>29</v>
      </c>
      <c r="D4" s="1" t="s">
        <v>30</v>
      </c>
      <c r="E4" s="1" t="s">
        <v>31</v>
      </c>
      <c r="F4" s="1" t="s">
        <v>32</v>
      </c>
      <c r="G4" s="1" t="s">
        <v>33</v>
      </c>
      <c r="H4" s="1" t="s">
        <v>34</v>
      </c>
      <c r="I4" s="1">
        <v>56</v>
      </c>
      <c r="J4" s="1">
        <v>2</v>
      </c>
      <c r="K4">
        <f t="shared" si="0"/>
        <v>117</v>
      </c>
      <c r="L4" s="2">
        <f t="shared" si="1"/>
        <v>45950.6479861111</v>
      </c>
      <c r="M4" t="str">
        <f t="shared" si="2"/>
        <v>October</v>
      </c>
      <c r="N4">
        <f t="shared" si="3"/>
        <v>8</v>
      </c>
      <c r="O4">
        <f t="shared" si="4"/>
        <v>1</v>
      </c>
    </row>
    <row r="5" spans="1:15">
      <c r="A5" s="3" t="s">
        <v>35</v>
      </c>
      <c r="B5" s="1" t="s">
        <v>36</v>
      </c>
      <c r="C5" s="1" t="s">
        <v>17</v>
      </c>
      <c r="D5" s="1" t="s">
        <v>18</v>
      </c>
      <c r="E5" s="1" t="s">
        <v>37</v>
      </c>
      <c r="F5" s="1"/>
      <c r="G5" s="1" t="s">
        <v>38</v>
      </c>
      <c r="H5" s="1" t="s">
        <v>39</v>
      </c>
      <c r="I5" s="1">
        <v>49</v>
      </c>
      <c r="J5" s="1">
        <v>1</v>
      </c>
      <c r="K5">
        <f t="shared" si="0"/>
        <v>452</v>
      </c>
      <c r="L5" s="2">
        <f t="shared" si="1"/>
        <v>45947.6877777778</v>
      </c>
      <c r="M5" t="str">
        <f t="shared" si="2"/>
        <v>October</v>
      </c>
      <c r="N5">
        <f t="shared" si="3"/>
        <v>9</v>
      </c>
      <c r="O5">
        <f t="shared" si="4"/>
        <v>2</v>
      </c>
    </row>
    <row r="6" spans="1:15">
      <c r="A6" s="3" t="s">
        <v>40</v>
      </c>
      <c r="B6" s="1" t="s">
        <v>41</v>
      </c>
      <c r="C6" s="1" t="s">
        <v>42</v>
      </c>
      <c r="D6" s="1" t="s">
        <v>18</v>
      </c>
      <c r="E6" s="1" t="s">
        <v>43</v>
      </c>
      <c r="F6" s="1"/>
      <c r="G6" s="1" t="s">
        <v>44</v>
      </c>
      <c r="H6" s="1" t="s">
        <v>45</v>
      </c>
      <c r="I6" s="1">
        <v>51</v>
      </c>
      <c r="J6" s="1">
        <v>1</v>
      </c>
      <c r="K6">
        <f t="shared" si="0"/>
        <v>718</v>
      </c>
      <c r="L6" s="2">
        <f t="shared" si="1"/>
        <v>45946.7509143518</v>
      </c>
      <c r="M6" t="str">
        <f t="shared" si="2"/>
        <v>October</v>
      </c>
      <c r="N6">
        <f t="shared" si="3"/>
        <v>11</v>
      </c>
      <c r="O6">
        <f t="shared" si="4"/>
        <v>6</v>
      </c>
    </row>
    <row r="7" spans="1:15">
      <c r="A7" s="3" t="s">
        <v>46</v>
      </c>
      <c r="B7" s="1" t="s">
        <v>47</v>
      </c>
      <c r="C7" s="1" t="s">
        <v>17</v>
      </c>
      <c r="D7" s="1" t="s">
        <v>18</v>
      </c>
      <c r="E7" s="1" t="s">
        <v>48</v>
      </c>
      <c r="F7" s="1"/>
      <c r="G7" s="1" t="s">
        <v>49</v>
      </c>
      <c r="H7" s="1" t="s">
        <v>50</v>
      </c>
      <c r="I7" s="1">
        <v>53</v>
      </c>
      <c r="J7" s="1">
        <v>0</v>
      </c>
      <c r="K7">
        <f t="shared" si="0"/>
        <v>802</v>
      </c>
      <c r="L7" s="2">
        <f t="shared" si="1"/>
        <v>45945.6256597222</v>
      </c>
      <c r="M7" t="str">
        <f t="shared" si="2"/>
        <v>October</v>
      </c>
      <c r="N7">
        <f t="shared" si="3"/>
        <v>8</v>
      </c>
      <c r="O7">
        <f t="shared" si="4"/>
        <v>5</v>
      </c>
    </row>
    <row r="8" spans="1:15">
      <c r="A8" s="3" t="s">
        <v>51</v>
      </c>
      <c r="B8" s="1" t="s">
        <v>52</v>
      </c>
      <c r="C8" s="1" t="s">
        <v>29</v>
      </c>
      <c r="D8" s="1" t="s">
        <v>30</v>
      </c>
      <c r="E8" s="1" t="s">
        <v>53</v>
      </c>
      <c r="F8" s="1" t="s">
        <v>54</v>
      </c>
      <c r="G8" s="1" t="s">
        <v>55</v>
      </c>
      <c r="H8" s="1" t="s">
        <v>56</v>
      </c>
      <c r="I8" s="1">
        <v>113</v>
      </c>
      <c r="J8" s="1">
        <v>6</v>
      </c>
      <c r="K8">
        <f t="shared" si="0"/>
        <v>289</v>
      </c>
      <c r="L8" s="2">
        <f t="shared" si="1"/>
        <v>45944.8750578704</v>
      </c>
      <c r="M8" t="str">
        <f t="shared" si="2"/>
        <v>October</v>
      </c>
      <c r="N8">
        <f t="shared" si="3"/>
        <v>14</v>
      </c>
      <c r="O8">
        <f t="shared" si="4"/>
        <v>0</v>
      </c>
    </row>
    <row r="9" spans="1:15">
      <c r="A9" s="3" t="s">
        <v>57</v>
      </c>
      <c r="B9" s="1" t="s">
        <v>58</v>
      </c>
      <c r="C9" s="1" t="s">
        <v>17</v>
      </c>
      <c r="D9" s="1" t="s">
        <v>18</v>
      </c>
      <c r="E9" s="1" t="s">
        <v>59</v>
      </c>
      <c r="F9" s="1"/>
      <c r="G9" s="1" t="s">
        <v>60</v>
      </c>
      <c r="H9" s="1" t="s">
        <v>61</v>
      </c>
      <c r="I9" s="1">
        <v>42</v>
      </c>
      <c r="J9" s="1">
        <v>0</v>
      </c>
      <c r="K9">
        <f t="shared" si="0"/>
        <v>202</v>
      </c>
      <c r="L9" s="2">
        <f t="shared" si="1"/>
        <v>45943.6256597222</v>
      </c>
      <c r="M9" t="str">
        <f t="shared" si="2"/>
        <v>October</v>
      </c>
      <c r="N9">
        <f t="shared" si="3"/>
        <v>8</v>
      </c>
      <c r="O9">
        <f t="shared" si="4"/>
        <v>1</v>
      </c>
    </row>
    <row r="10" spans="1:15">
      <c r="A10" s="3" t="s">
        <v>62</v>
      </c>
      <c r="B10" s="1" t="s">
        <v>63</v>
      </c>
      <c r="C10" s="1" t="s">
        <v>29</v>
      </c>
      <c r="D10" s="1" t="s">
        <v>30</v>
      </c>
      <c r="E10" s="1" t="s">
        <v>64</v>
      </c>
      <c r="F10" s="1" t="s">
        <v>65</v>
      </c>
      <c r="G10" s="1" t="s">
        <v>66</v>
      </c>
      <c r="H10" s="1" t="s">
        <v>67</v>
      </c>
      <c r="I10" s="1">
        <v>33</v>
      </c>
      <c r="J10" s="1">
        <v>1</v>
      </c>
      <c r="K10">
        <f t="shared" si="0"/>
        <v>486</v>
      </c>
      <c r="L10" s="2">
        <f t="shared" si="1"/>
        <v>45940.9722569444</v>
      </c>
      <c r="M10" t="str">
        <f t="shared" si="2"/>
        <v>October</v>
      </c>
      <c r="N10">
        <f t="shared" si="3"/>
        <v>16</v>
      </c>
      <c r="O10">
        <f t="shared" si="4"/>
        <v>5</v>
      </c>
    </row>
    <row r="11" spans="1:15">
      <c r="A11" s="3" t="s">
        <v>68</v>
      </c>
      <c r="B11" s="1" t="s">
        <v>69</v>
      </c>
      <c r="C11" s="1" t="s">
        <v>42</v>
      </c>
      <c r="D11" s="1" t="s">
        <v>18</v>
      </c>
      <c r="E11" s="1" t="s">
        <v>70</v>
      </c>
      <c r="F11" s="1"/>
      <c r="G11" s="1" t="s">
        <v>71</v>
      </c>
      <c r="H11" s="1" t="s">
        <v>72</v>
      </c>
      <c r="I11" s="1">
        <v>368</v>
      </c>
      <c r="J11" s="1">
        <v>8</v>
      </c>
      <c r="K11">
        <f t="shared" si="0"/>
        <v>233</v>
      </c>
      <c r="L11" s="2">
        <f t="shared" si="1"/>
        <v>45940.6261226852</v>
      </c>
      <c r="M11" t="str">
        <f t="shared" si="2"/>
        <v>October</v>
      </c>
      <c r="N11">
        <f t="shared" si="3"/>
        <v>8</v>
      </c>
      <c r="O11">
        <f t="shared" si="4"/>
        <v>2</v>
      </c>
    </row>
    <row r="12" spans="1:15">
      <c r="A12" s="3" t="s">
        <v>73</v>
      </c>
      <c r="B12" s="1" t="s">
        <v>74</v>
      </c>
      <c r="C12" s="1" t="s">
        <v>17</v>
      </c>
      <c r="D12" s="1" t="s">
        <v>18</v>
      </c>
      <c r="E12" s="1" t="s">
        <v>75</v>
      </c>
      <c r="F12" s="1"/>
      <c r="G12" s="1" t="s">
        <v>76</v>
      </c>
      <c r="H12" s="1" t="s">
        <v>77</v>
      </c>
      <c r="I12" s="1">
        <v>185</v>
      </c>
      <c r="J12" s="1">
        <v>3</v>
      </c>
      <c r="K12">
        <f t="shared" si="0"/>
        <v>671</v>
      </c>
      <c r="L12" s="2">
        <f t="shared" si="1"/>
        <v>45939.7090740741</v>
      </c>
      <c r="M12" t="str">
        <f t="shared" si="2"/>
        <v>October</v>
      </c>
      <c r="N12">
        <f t="shared" si="3"/>
        <v>10</v>
      </c>
      <c r="O12">
        <f t="shared" si="4"/>
        <v>3</v>
      </c>
    </row>
    <row r="13" spans="1:15">
      <c r="A13" s="3" t="s">
        <v>78</v>
      </c>
      <c r="B13" s="1" t="s">
        <v>79</v>
      </c>
      <c r="C13" s="1" t="s">
        <v>17</v>
      </c>
      <c r="D13" s="1" t="s">
        <v>18</v>
      </c>
      <c r="E13" s="1" t="s">
        <v>80</v>
      </c>
      <c r="F13" s="1"/>
      <c r="G13" s="1" t="s">
        <v>81</v>
      </c>
      <c r="H13" s="1" t="s">
        <v>82</v>
      </c>
      <c r="I13" s="1">
        <v>46</v>
      </c>
      <c r="J13" s="1">
        <v>0</v>
      </c>
      <c r="K13">
        <f t="shared" si="0"/>
        <v>360</v>
      </c>
      <c r="L13" s="2">
        <f t="shared" si="1"/>
        <v>45938.6256828704</v>
      </c>
      <c r="M13" t="str">
        <f t="shared" si="2"/>
        <v>October</v>
      </c>
      <c r="N13">
        <f t="shared" si="3"/>
        <v>8</v>
      </c>
      <c r="O13">
        <f t="shared" si="4"/>
        <v>5</v>
      </c>
    </row>
    <row r="14" spans="1:15">
      <c r="A14" s="3" t="s">
        <v>83</v>
      </c>
      <c r="B14" s="1" t="s">
        <v>84</v>
      </c>
      <c r="C14" s="1" t="s">
        <v>29</v>
      </c>
      <c r="D14" s="1" t="s">
        <v>30</v>
      </c>
      <c r="E14" s="1" t="s">
        <v>85</v>
      </c>
      <c r="F14" s="1" t="s">
        <v>86</v>
      </c>
      <c r="G14" s="1" t="s">
        <v>87</v>
      </c>
      <c r="H14" s="1" t="s">
        <v>88</v>
      </c>
      <c r="I14" s="1">
        <v>128</v>
      </c>
      <c r="J14" s="1">
        <v>4</v>
      </c>
      <c r="K14">
        <f t="shared" si="0"/>
        <v>485</v>
      </c>
      <c r="L14" s="2">
        <f t="shared" si="1"/>
        <v>45937.8754166667</v>
      </c>
      <c r="M14" t="str">
        <f t="shared" si="2"/>
        <v>October</v>
      </c>
      <c r="N14">
        <f t="shared" si="3"/>
        <v>14</v>
      </c>
      <c r="O14">
        <f t="shared" si="4"/>
        <v>4</v>
      </c>
    </row>
    <row r="15" spans="1:15">
      <c r="A15" s="3" t="s">
        <v>89</v>
      </c>
      <c r="B15" s="1" t="s">
        <v>90</v>
      </c>
      <c r="C15" s="1" t="s">
        <v>17</v>
      </c>
      <c r="D15" s="1" t="s">
        <v>18</v>
      </c>
      <c r="E15" s="1" t="s">
        <v>91</v>
      </c>
      <c r="F15" s="1"/>
      <c r="G15" s="1" t="s">
        <v>92</v>
      </c>
      <c r="H15" s="1" t="s">
        <v>93</v>
      </c>
      <c r="I15" s="1">
        <v>43</v>
      </c>
      <c r="J15" s="1">
        <v>0</v>
      </c>
      <c r="K15">
        <f t="shared" si="0"/>
        <v>535</v>
      </c>
      <c r="L15" s="2">
        <f t="shared" si="1"/>
        <v>45936.8764467593</v>
      </c>
      <c r="M15" t="str">
        <f t="shared" si="2"/>
        <v>October</v>
      </c>
      <c r="N15">
        <f t="shared" si="3"/>
        <v>14</v>
      </c>
      <c r="O15">
        <f t="shared" si="4"/>
        <v>4</v>
      </c>
    </row>
    <row r="16" spans="1:15">
      <c r="A16" s="3" t="s">
        <v>94</v>
      </c>
      <c r="B16" s="1" t="s">
        <v>95</v>
      </c>
      <c r="C16" s="1" t="s">
        <v>42</v>
      </c>
      <c r="D16" s="1" t="s">
        <v>18</v>
      </c>
      <c r="E16" s="1" t="s">
        <v>96</v>
      </c>
      <c r="F16" s="1"/>
      <c r="G16" s="1" t="s">
        <v>97</v>
      </c>
      <c r="H16" s="1" t="s">
        <v>98</v>
      </c>
      <c r="I16" s="1">
        <v>355</v>
      </c>
      <c r="J16" s="1">
        <v>9</v>
      </c>
      <c r="K16">
        <f t="shared" si="0"/>
        <v>698</v>
      </c>
      <c r="L16" s="2">
        <f t="shared" si="1"/>
        <v>45936.6977546296</v>
      </c>
      <c r="M16" t="str">
        <f t="shared" si="2"/>
        <v>October</v>
      </c>
      <c r="N16">
        <f t="shared" si="3"/>
        <v>9</v>
      </c>
      <c r="O16">
        <f t="shared" si="4"/>
        <v>7</v>
      </c>
    </row>
    <row r="17" spans="1:15">
      <c r="A17" s="3" t="s">
        <v>99</v>
      </c>
      <c r="B17" s="1" t="s">
        <v>100</v>
      </c>
      <c r="C17" s="1" t="s">
        <v>42</v>
      </c>
      <c r="D17" s="1" t="s">
        <v>18</v>
      </c>
      <c r="E17" s="1" t="s">
        <v>101</v>
      </c>
      <c r="F17" s="1"/>
      <c r="G17" s="1" t="s">
        <v>102</v>
      </c>
      <c r="H17" s="1" t="s">
        <v>103</v>
      </c>
      <c r="I17" s="1">
        <v>107</v>
      </c>
      <c r="J17" s="1">
        <v>1</v>
      </c>
      <c r="K17">
        <f t="shared" si="0"/>
        <v>309</v>
      </c>
      <c r="L17" s="2">
        <f t="shared" si="1"/>
        <v>45935.6672222222</v>
      </c>
      <c r="M17" t="str">
        <f t="shared" si="2"/>
        <v>October</v>
      </c>
      <c r="N17">
        <f t="shared" si="3"/>
        <v>9</v>
      </c>
      <c r="O17">
        <f t="shared" si="4"/>
        <v>4</v>
      </c>
    </row>
    <row r="18" spans="1:15">
      <c r="A18" s="3" t="s">
        <v>104</v>
      </c>
      <c r="B18" s="1" t="s">
        <v>105</v>
      </c>
      <c r="C18" s="1" t="s">
        <v>42</v>
      </c>
      <c r="D18" s="1" t="s">
        <v>18</v>
      </c>
      <c r="E18" s="1" t="s">
        <v>106</v>
      </c>
      <c r="F18" s="1"/>
      <c r="G18" s="1" t="s">
        <v>107</v>
      </c>
      <c r="H18" s="1" t="s">
        <v>108</v>
      </c>
      <c r="I18" s="1">
        <v>125</v>
      </c>
      <c r="J18" s="1">
        <v>2</v>
      </c>
      <c r="K18">
        <f t="shared" si="0"/>
        <v>170</v>
      </c>
      <c r="L18" s="2">
        <f t="shared" si="1"/>
        <v>45933.8766782407</v>
      </c>
      <c r="M18" t="str">
        <f t="shared" si="2"/>
        <v>October</v>
      </c>
      <c r="N18">
        <f t="shared" si="3"/>
        <v>14</v>
      </c>
      <c r="O18">
        <f t="shared" si="4"/>
        <v>0</v>
      </c>
    </row>
    <row r="19" spans="1:15">
      <c r="A19" s="3" t="s">
        <v>109</v>
      </c>
      <c r="B19" s="1" t="s">
        <v>110</v>
      </c>
      <c r="C19" s="1" t="s">
        <v>42</v>
      </c>
      <c r="D19" s="1" t="s">
        <v>18</v>
      </c>
      <c r="E19" s="1" t="s">
        <v>111</v>
      </c>
      <c r="F19" s="1"/>
      <c r="G19" s="1" t="s">
        <v>112</v>
      </c>
      <c r="H19" s="1" t="s">
        <v>113</v>
      </c>
      <c r="I19" s="1">
        <v>141</v>
      </c>
      <c r="J19" s="1">
        <v>1</v>
      </c>
      <c r="K19">
        <f t="shared" si="0"/>
        <v>245</v>
      </c>
      <c r="L19" s="2">
        <f t="shared" si="1"/>
        <v>45933.6262847222</v>
      </c>
      <c r="M19" t="str">
        <f t="shared" si="2"/>
        <v>October</v>
      </c>
      <c r="N19">
        <f t="shared" si="3"/>
        <v>8</v>
      </c>
      <c r="O19">
        <f t="shared" si="4"/>
        <v>2</v>
      </c>
    </row>
    <row r="20" spans="1:15">
      <c r="A20" s="3" t="s">
        <v>114</v>
      </c>
      <c r="B20" s="1" t="s">
        <v>110</v>
      </c>
      <c r="C20" s="1" t="s">
        <v>42</v>
      </c>
      <c r="D20" s="1" t="s">
        <v>18</v>
      </c>
      <c r="E20" s="1" t="s">
        <v>115</v>
      </c>
      <c r="F20" s="1"/>
      <c r="G20" s="1" t="s">
        <v>116</v>
      </c>
      <c r="H20" s="1" t="s">
        <v>117</v>
      </c>
      <c r="I20" s="1">
        <v>199</v>
      </c>
      <c r="J20" s="1">
        <v>3</v>
      </c>
      <c r="K20">
        <f t="shared" si="0"/>
        <v>245</v>
      </c>
      <c r="L20" s="2">
        <f t="shared" si="1"/>
        <v>45933.6258449074</v>
      </c>
      <c r="M20" t="str">
        <f t="shared" si="2"/>
        <v>October</v>
      </c>
      <c r="N20">
        <f t="shared" si="3"/>
        <v>8</v>
      </c>
      <c r="O20">
        <f t="shared" si="4"/>
        <v>2</v>
      </c>
    </row>
    <row r="21" spans="1:15">
      <c r="A21" s="3" t="s">
        <v>118</v>
      </c>
      <c r="B21" s="1" t="s">
        <v>119</v>
      </c>
      <c r="C21" s="1" t="s">
        <v>17</v>
      </c>
      <c r="D21" s="1" t="s">
        <v>18</v>
      </c>
      <c r="E21" s="1" t="s">
        <v>120</v>
      </c>
      <c r="F21" s="1"/>
      <c r="G21" s="1" t="s">
        <v>121</v>
      </c>
      <c r="H21" s="1" t="s">
        <v>122</v>
      </c>
      <c r="I21" s="1">
        <v>90</v>
      </c>
      <c r="J21" s="1">
        <v>1</v>
      </c>
      <c r="K21">
        <f t="shared" si="0"/>
        <v>325</v>
      </c>
      <c r="L21" s="2">
        <f t="shared" si="1"/>
        <v>45932.7090740741</v>
      </c>
      <c r="M21" t="str">
        <f t="shared" si="2"/>
        <v>October</v>
      </c>
      <c r="N21">
        <f t="shared" si="3"/>
        <v>10</v>
      </c>
      <c r="O21">
        <f t="shared" si="4"/>
        <v>3</v>
      </c>
    </row>
    <row r="22" spans="1:15">
      <c r="A22" s="3" t="s">
        <v>123</v>
      </c>
      <c r="B22" s="1" t="s">
        <v>124</v>
      </c>
      <c r="C22" s="1" t="s">
        <v>42</v>
      </c>
      <c r="D22" s="1" t="s">
        <v>18</v>
      </c>
      <c r="E22" s="1" t="s">
        <v>125</v>
      </c>
      <c r="F22" s="1"/>
      <c r="G22" s="1" t="s">
        <v>126</v>
      </c>
      <c r="H22" s="1" t="s">
        <v>127</v>
      </c>
      <c r="I22" s="1">
        <v>39</v>
      </c>
      <c r="J22" s="1">
        <v>0</v>
      </c>
      <c r="K22">
        <f t="shared" si="0"/>
        <v>454</v>
      </c>
      <c r="L22" s="2">
        <f t="shared" si="1"/>
        <v>45931.8773958333</v>
      </c>
      <c r="M22" t="str">
        <f t="shared" si="2"/>
        <v>October</v>
      </c>
      <c r="N22">
        <f t="shared" si="3"/>
        <v>14</v>
      </c>
      <c r="O22">
        <f t="shared" si="4"/>
        <v>1</v>
      </c>
    </row>
    <row r="23" spans="1:15">
      <c r="A23" s="3" t="s">
        <v>128</v>
      </c>
      <c r="B23" s="1" t="s">
        <v>129</v>
      </c>
      <c r="C23" s="1" t="s">
        <v>29</v>
      </c>
      <c r="D23" s="1" t="s">
        <v>30</v>
      </c>
      <c r="E23" s="1" t="s">
        <v>130</v>
      </c>
      <c r="F23" s="1" t="s">
        <v>131</v>
      </c>
      <c r="G23" s="1" t="s">
        <v>132</v>
      </c>
      <c r="H23" s="1" t="s">
        <v>133</v>
      </c>
      <c r="I23" s="1">
        <v>59</v>
      </c>
      <c r="J23" s="1">
        <v>0</v>
      </c>
      <c r="K23">
        <f t="shared" si="0"/>
        <v>394</v>
      </c>
      <c r="L23" s="2">
        <f t="shared" si="1"/>
        <v>45930.5834375</v>
      </c>
      <c r="M23" t="str">
        <f t="shared" si="2"/>
        <v>September</v>
      </c>
      <c r="N23">
        <f t="shared" si="3"/>
        <v>7</v>
      </c>
      <c r="O23">
        <f t="shared" si="4"/>
        <v>2</v>
      </c>
    </row>
    <row r="24" spans="1:15">
      <c r="A24" s="3" t="s">
        <v>134</v>
      </c>
      <c r="B24" s="1" t="s">
        <v>135</v>
      </c>
      <c r="C24" s="1" t="s">
        <v>17</v>
      </c>
      <c r="D24" s="1" t="s">
        <v>18</v>
      </c>
      <c r="E24" s="1" t="s">
        <v>136</v>
      </c>
      <c r="F24" s="1"/>
      <c r="G24" s="1" t="s">
        <v>137</v>
      </c>
      <c r="H24" s="1" t="s">
        <v>138</v>
      </c>
      <c r="I24" s="1">
        <v>78</v>
      </c>
      <c r="J24" s="1">
        <v>0</v>
      </c>
      <c r="K24">
        <f t="shared" si="0"/>
        <v>460</v>
      </c>
      <c r="L24" s="2">
        <f t="shared" si="1"/>
        <v>45929.876712963</v>
      </c>
      <c r="M24" t="str">
        <f t="shared" si="2"/>
        <v>September</v>
      </c>
      <c r="N24">
        <f t="shared" si="3"/>
        <v>14</v>
      </c>
      <c r="O24">
        <f t="shared" si="4"/>
        <v>1</v>
      </c>
    </row>
    <row r="25" spans="1:15">
      <c r="A25" s="3" t="s">
        <v>139</v>
      </c>
      <c r="B25" s="1" t="s">
        <v>140</v>
      </c>
      <c r="C25" s="1" t="s">
        <v>42</v>
      </c>
      <c r="D25" s="1" t="s">
        <v>18</v>
      </c>
      <c r="E25" s="1" t="s">
        <v>141</v>
      </c>
      <c r="F25" s="1"/>
      <c r="G25" s="1" t="s">
        <v>142</v>
      </c>
      <c r="H25" s="1" t="s">
        <v>143</v>
      </c>
      <c r="I25" s="1">
        <v>400</v>
      </c>
      <c r="J25" s="1">
        <v>0</v>
      </c>
      <c r="K25">
        <f t="shared" si="0"/>
        <v>402</v>
      </c>
      <c r="L25" s="2">
        <f t="shared" si="1"/>
        <v>45926.685625</v>
      </c>
      <c r="M25" t="str">
        <f t="shared" si="2"/>
        <v>September</v>
      </c>
      <c r="N25">
        <f t="shared" si="3"/>
        <v>9</v>
      </c>
      <c r="O25">
        <f t="shared" si="4"/>
        <v>7</v>
      </c>
    </row>
    <row r="26" spans="1:15">
      <c r="A26" s="3" t="s">
        <v>144</v>
      </c>
      <c r="B26" s="1" t="s">
        <v>145</v>
      </c>
      <c r="C26" s="1" t="s">
        <v>17</v>
      </c>
      <c r="D26" s="1" t="s">
        <v>18</v>
      </c>
      <c r="E26" s="1" t="s">
        <v>146</v>
      </c>
      <c r="F26" s="1"/>
      <c r="G26" s="1" t="s">
        <v>147</v>
      </c>
      <c r="H26" s="1" t="s">
        <v>148</v>
      </c>
      <c r="I26" s="1">
        <v>50</v>
      </c>
      <c r="J26" s="1">
        <v>0</v>
      </c>
      <c r="K26">
        <f t="shared" si="0"/>
        <v>457</v>
      </c>
      <c r="L26" s="2">
        <f t="shared" si="1"/>
        <v>45924.9513078704</v>
      </c>
      <c r="M26" t="str">
        <f t="shared" si="2"/>
        <v>September</v>
      </c>
      <c r="N26">
        <f t="shared" si="3"/>
        <v>15</v>
      </c>
      <c r="O26">
        <f t="shared" si="4"/>
        <v>4</v>
      </c>
    </row>
    <row r="27" spans="1:15">
      <c r="A27" s="3" t="s">
        <v>149</v>
      </c>
      <c r="B27" s="1" t="s">
        <v>150</v>
      </c>
      <c r="C27" s="1" t="s">
        <v>17</v>
      </c>
      <c r="D27" s="1" t="s">
        <v>18</v>
      </c>
      <c r="E27" s="1" t="s">
        <v>151</v>
      </c>
      <c r="F27" s="1"/>
      <c r="G27" s="1" t="s">
        <v>152</v>
      </c>
      <c r="H27" s="1" t="s">
        <v>153</v>
      </c>
      <c r="I27" s="1">
        <v>74</v>
      </c>
      <c r="J27" s="1">
        <v>0</v>
      </c>
      <c r="K27">
        <f t="shared" si="0"/>
        <v>673</v>
      </c>
      <c r="L27" s="2">
        <f t="shared" si="1"/>
        <v>45923.5836921296</v>
      </c>
      <c r="M27" t="str">
        <f t="shared" si="2"/>
        <v>September</v>
      </c>
      <c r="N27">
        <f t="shared" si="3"/>
        <v>7</v>
      </c>
      <c r="O27">
        <f t="shared" si="4"/>
        <v>0</v>
      </c>
    </row>
    <row r="28" spans="1:15">
      <c r="A28" s="3" t="s">
        <v>154</v>
      </c>
      <c r="B28" s="1" t="s">
        <v>155</v>
      </c>
      <c r="C28" s="1" t="s">
        <v>17</v>
      </c>
      <c r="D28" s="1" t="s">
        <v>18</v>
      </c>
      <c r="E28" s="1" t="s">
        <v>156</v>
      </c>
      <c r="F28" s="1"/>
      <c r="G28" s="1" t="s">
        <v>157</v>
      </c>
      <c r="H28" s="1" t="s">
        <v>158</v>
      </c>
      <c r="I28" s="1">
        <v>71</v>
      </c>
      <c r="J28" s="1">
        <v>7</v>
      </c>
      <c r="K28">
        <f t="shared" si="0"/>
        <v>218</v>
      </c>
      <c r="L28" s="2">
        <f t="shared" si="1"/>
        <v>45922.6256481481</v>
      </c>
      <c r="M28" t="str">
        <f t="shared" si="2"/>
        <v>September</v>
      </c>
      <c r="N28">
        <f t="shared" si="3"/>
        <v>8</v>
      </c>
      <c r="O28">
        <f t="shared" si="4"/>
        <v>5</v>
      </c>
    </row>
    <row r="29" spans="1:15">
      <c r="A29" s="3" t="s">
        <v>159</v>
      </c>
      <c r="B29" s="1" t="s">
        <v>160</v>
      </c>
      <c r="C29" s="1" t="s">
        <v>29</v>
      </c>
      <c r="D29" s="1" t="s">
        <v>30</v>
      </c>
      <c r="E29" s="1" t="s">
        <v>161</v>
      </c>
      <c r="F29" s="1" t="s">
        <v>162</v>
      </c>
      <c r="G29" s="1" t="s">
        <v>163</v>
      </c>
      <c r="H29" s="1" t="s">
        <v>164</v>
      </c>
      <c r="I29" s="1">
        <v>35</v>
      </c>
      <c r="J29" s="1">
        <v>0</v>
      </c>
      <c r="K29">
        <f t="shared" si="0"/>
        <v>734</v>
      </c>
      <c r="L29" s="2">
        <f t="shared" si="1"/>
        <v>45919.6252430556</v>
      </c>
      <c r="M29" t="str">
        <f t="shared" si="2"/>
        <v>September</v>
      </c>
      <c r="N29">
        <f t="shared" si="3"/>
        <v>8</v>
      </c>
      <c r="O29">
        <f t="shared" si="4"/>
        <v>5</v>
      </c>
    </row>
    <row r="30" spans="1:15">
      <c r="A30" s="3" t="s">
        <v>165</v>
      </c>
      <c r="B30" s="1" t="s">
        <v>166</v>
      </c>
      <c r="C30" s="1" t="s">
        <v>17</v>
      </c>
      <c r="D30" s="1" t="s">
        <v>18</v>
      </c>
      <c r="E30" s="1" t="s">
        <v>167</v>
      </c>
      <c r="F30" s="1"/>
      <c r="G30" s="1" t="s">
        <v>168</v>
      </c>
      <c r="H30" s="1" t="s">
        <v>169</v>
      </c>
      <c r="I30" s="1">
        <v>74</v>
      </c>
      <c r="J30" s="1">
        <v>5</v>
      </c>
      <c r="K30">
        <f t="shared" si="0"/>
        <v>997</v>
      </c>
      <c r="L30" s="2">
        <f t="shared" si="1"/>
        <v>45918.7091550926</v>
      </c>
      <c r="M30" t="str">
        <f t="shared" si="2"/>
        <v>September</v>
      </c>
      <c r="N30">
        <f t="shared" si="3"/>
        <v>10</v>
      </c>
      <c r="O30">
        <f t="shared" si="4"/>
        <v>7</v>
      </c>
    </row>
    <row r="31" spans="1:15">
      <c r="A31" s="3" t="s">
        <v>170</v>
      </c>
      <c r="B31" s="1" t="s">
        <v>171</v>
      </c>
      <c r="C31" s="1" t="s">
        <v>17</v>
      </c>
      <c r="D31" s="1" t="s">
        <v>18</v>
      </c>
      <c r="E31" s="1" t="s">
        <v>172</v>
      </c>
      <c r="F31" s="1"/>
      <c r="G31" s="1" t="s">
        <v>173</v>
      </c>
      <c r="H31" s="1" t="s">
        <v>174</v>
      </c>
      <c r="I31" s="1">
        <v>53</v>
      </c>
      <c r="J31" s="1">
        <v>0</v>
      </c>
      <c r="K31">
        <f t="shared" si="0"/>
        <v>638</v>
      </c>
      <c r="L31" s="2">
        <f t="shared" si="1"/>
        <v>45916.9421180556</v>
      </c>
      <c r="M31" t="str">
        <f t="shared" si="2"/>
        <v>September</v>
      </c>
      <c r="N31">
        <f t="shared" si="3"/>
        <v>15</v>
      </c>
      <c r="O31">
        <f t="shared" si="4"/>
        <v>6</v>
      </c>
    </row>
    <row r="32" spans="1:15">
      <c r="A32" s="3" t="s">
        <v>175</v>
      </c>
      <c r="B32" s="1" t="s">
        <v>176</v>
      </c>
      <c r="C32" s="1" t="s">
        <v>17</v>
      </c>
      <c r="D32" s="1" t="s">
        <v>18</v>
      </c>
      <c r="E32" s="1" t="s">
        <v>177</v>
      </c>
      <c r="F32" s="1"/>
      <c r="G32" s="1" t="s">
        <v>178</v>
      </c>
      <c r="H32" s="1" t="s">
        <v>179</v>
      </c>
      <c r="I32" s="1">
        <v>68</v>
      </c>
      <c r="J32" s="1">
        <v>0</v>
      </c>
      <c r="K32">
        <f t="shared" si="0"/>
        <v>349</v>
      </c>
      <c r="L32" s="2">
        <f t="shared" si="1"/>
        <v>45915.7575578704</v>
      </c>
      <c r="M32" t="str">
        <f t="shared" si="2"/>
        <v>September</v>
      </c>
      <c r="N32">
        <f t="shared" si="3"/>
        <v>11</v>
      </c>
      <c r="O32">
        <f t="shared" si="4"/>
        <v>4</v>
      </c>
    </row>
    <row r="33" spans="1:15">
      <c r="A33" s="3" t="s">
        <v>180</v>
      </c>
      <c r="B33" s="1" t="s">
        <v>181</v>
      </c>
      <c r="C33" s="1" t="s">
        <v>17</v>
      </c>
      <c r="D33" s="1" t="s">
        <v>18</v>
      </c>
      <c r="E33" s="1" t="s">
        <v>182</v>
      </c>
      <c r="F33" s="1"/>
      <c r="G33" s="1" t="s">
        <v>183</v>
      </c>
      <c r="H33" s="1" t="s">
        <v>184</v>
      </c>
      <c r="I33" s="1">
        <v>37</v>
      </c>
      <c r="J33" s="1">
        <v>0</v>
      </c>
      <c r="K33">
        <f t="shared" si="0"/>
        <v>1121</v>
      </c>
      <c r="L33" s="2">
        <f t="shared" si="1"/>
        <v>45910.7086805556</v>
      </c>
      <c r="M33" t="str">
        <f t="shared" si="2"/>
        <v>September</v>
      </c>
      <c r="N33">
        <f t="shared" si="3"/>
        <v>10</v>
      </c>
      <c r="O33">
        <f t="shared" si="4"/>
        <v>5</v>
      </c>
    </row>
    <row r="34" spans="1:15">
      <c r="A34" s="3" t="s">
        <v>185</v>
      </c>
      <c r="B34" s="1" t="s">
        <v>186</v>
      </c>
      <c r="C34" s="1" t="s">
        <v>17</v>
      </c>
      <c r="D34" s="1" t="s">
        <v>18</v>
      </c>
      <c r="E34" s="1" t="s">
        <v>187</v>
      </c>
      <c r="F34" s="1"/>
      <c r="G34" s="1" t="s">
        <v>188</v>
      </c>
      <c r="H34" s="1" t="s">
        <v>189</v>
      </c>
      <c r="I34" s="1">
        <v>76</v>
      </c>
      <c r="J34" s="1">
        <v>0</v>
      </c>
      <c r="K34">
        <f t="shared" si="0"/>
        <v>542</v>
      </c>
      <c r="L34" s="2">
        <f t="shared" si="1"/>
        <v>45909.5210069444</v>
      </c>
      <c r="M34" t="str">
        <f t="shared" si="2"/>
        <v>September</v>
      </c>
      <c r="N34">
        <f t="shared" si="3"/>
        <v>5</v>
      </c>
      <c r="O34">
        <f t="shared" si="4"/>
        <v>4</v>
      </c>
    </row>
    <row r="35" spans="1:15">
      <c r="A35" s="3" t="s">
        <v>190</v>
      </c>
      <c r="B35" s="1" t="s">
        <v>191</v>
      </c>
      <c r="C35" s="1" t="s">
        <v>17</v>
      </c>
      <c r="D35" s="1" t="s">
        <v>18</v>
      </c>
      <c r="E35" s="1" t="s">
        <v>192</v>
      </c>
      <c r="F35" s="1"/>
      <c r="G35" s="1" t="s">
        <v>193</v>
      </c>
      <c r="H35" s="1" t="s">
        <v>194</v>
      </c>
      <c r="I35" s="1">
        <v>63</v>
      </c>
      <c r="J35" s="1">
        <v>2</v>
      </c>
      <c r="K35">
        <f t="shared" ref="K35:K51" si="5">LEN(B35)</f>
        <v>412</v>
      </c>
      <c r="L35" s="2">
        <f t="shared" ref="L35:L51" si="6">(DATEVALUE(LEFT(H35,10))+TIMEVALUE(MID(H35,12,8)))+(7/24)</f>
        <v>45908.6043402778</v>
      </c>
      <c r="M35" t="str">
        <f t="shared" ref="M35:M51" si="7">TEXT(L35,"mmmm")</f>
        <v>September</v>
      </c>
      <c r="N35">
        <f t="shared" ref="N35:N51" si="8">VALUE(MID(H35,12,2))</f>
        <v>7</v>
      </c>
      <c r="O35">
        <f t="shared" ref="O35:O51" si="9">LEN(B35)-LEN(SUBSTITUTE(B35,"#",""))</f>
        <v>4</v>
      </c>
    </row>
    <row r="36" spans="1:15">
      <c r="A36" s="3" t="s">
        <v>195</v>
      </c>
      <c r="B36" s="1" t="s">
        <v>196</v>
      </c>
      <c r="C36" s="1" t="s">
        <v>17</v>
      </c>
      <c r="D36" s="1" t="s">
        <v>18</v>
      </c>
      <c r="E36" s="1" t="s">
        <v>197</v>
      </c>
      <c r="F36" s="1"/>
      <c r="G36" s="1" t="s">
        <v>198</v>
      </c>
      <c r="H36" s="1" t="s">
        <v>199</v>
      </c>
      <c r="I36" s="1">
        <v>51</v>
      </c>
      <c r="J36" s="1">
        <v>1</v>
      </c>
      <c r="K36">
        <f t="shared" si="5"/>
        <v>607</v>
      </c>
      <c r="L36" s="2">
        <f t="shared" si="6"/>
        <v>45903.7087615741</v>
      </c>
      <c r="M36" t="str">
        <f t="shared" si="7"/>
        <v>September</v>
      </c>
      <c r="N36">
        <f t="shared" si="8"/>
        <v>10</v>
      </c>
      <c r="O36">
        <f t="shared" si="9"/>
        <v>3</v>
      </c>
    </row>
    <row r="37" spans="1:15">
      <c r="A37" s="3" t="s">
        <v>200</v>
      </c>
      <c r="B37" s="1" t="s">
        <v>201</v>
      </c>
      <c r="C37" s="1" t="s">
        <v>42</v>
      </c>
      <c r="D37" s="1" t="s">
        <v>18</v>
      </c>
      <c r="E37" s="1" t="s">
        <v>202</v>
      </c>
      <c r="F37" s="1"/>
      <c r="G37" s="1" t="s">
        <v>203</v>
      </c>
      <c r="H37" s="1" t="s">
        <v>204</v>
      </c>
      <c r="I37" s="1">
        <v>46</v>
      </c>
      <c r="J37" s="1">
        <v>2</v>
      </c>
      <c r="K37">
        <f t="shared" si="5"/>
        <v>1695</v>
      </c>
      <c r="L37" s="2">
        <f t="shared" si="6"/>
        <v>45901.6260069444</v>
      </c>
      <c r="M37" t="str">
        <f t="shared" si="7"/>
        <v>September</v>
      </c>
      <c r="N37">
        <f t="shared" si="8"/>
        <v>8</v>
      </c>
      <c r="O37">
        <f t="shared" si="9"/>
        <v>4</v>
      </c>
    </row>
    <row r="38" spans="1:15">
      <c r="A38" s="3" t="s">
        <v>205</v>
      </c>
      <c r="B38" s="1" t="s">
        <v>206</v>
      </c>
      <c r="C38" s="1" t="s">
        <v>29</v>
      </c>
      <c r="D38" s="1" t="s">
        <v>30</v>
      </c>
      <c r="E38" s="1" t="s">
        <v>207</v>
      </c>
      <c r="F38" s="1" t="s">
        <v>208</v>
      </c>
      <c r="G38" s="1" t="s">
        <v>209</v>
      </c>
      <c r="H38" s="1" t="s">
        <v>210</v>
      </c>
      <c r="I38" s="1">
        <v>61</v>
      </c>
      <c r="J38" s="1">
        <v>1</v>
      </c>
      <c r="K38">
        <f t="shared" si="5"/>
        <v>409</v>
      </c>
      <c r="L38" s="2">
        <f t="shared" si="6"/>
        <v>45898.6253240741</v>
      </c>
      <c r="M38" t="str">
        <f t="shared" si="7"/>
        <v>August</v>
      </c>
      <c r="N38">
        <f t="shared" si="8"/>
        <v>8</v>
      </c>
      <c r="O38">
        <f t="shared" si="9"/>
        <v>5</v>
      </c>
    </row>
    <row r="39" spans="1:15">
      <c r="A39" s="3" t="s">
        <v>211</v>
      </c>
      <c r="B39" s="1" t="s">
        <v>212</v>
      </c>
      <c r="C39" s="1" t="s">
        <v>17</v>
      </c>
      <c r="D39" s="1" t="s">
        <v>18</v>
      </c>
      <c r="E39" s="1" t="s">
        <v>213</v>
      </c>
      <c r="F39" s="1"/>
      <c r="G39" s="1" t="s">
        <v>214</v>
      </c>
      <c r="H39" s="1" t="s">
        <v>215</v>
      </c>
      <c r="I39" s="1">
        <v>305</v>
      </c>
      <c r="J39" s="1">
        <v>11</v>
      </c>
      <c r="K39">
        <f t="shared" si="5"/>
        <v>569</v>
      </c>
      <c r="L39" s="2">
        <f t="shared" si="6"/>
        <v>45897.6257175926</v>
      </c>
      <c r="M39" t="str">
        <f t="shared" si="7"/>
        <v>August</v>
      </c>
      <c r="N39">
        <f t="shared" si="8"/>
        <v>8</v>
      </c>
      <c r="O39">
        <f t="shared" si="9"/>
        <v>3</v>
      </c>
    </row>
    <row r="40" spans="1:15">
      <c r="A40" s="3" t="s">
        <v>216</v>
      </c>
      <c r="B40" s="1" t="s">
        <v>217</v>
      </c>
      <c r="C40" s="1" t="s">
        <v>17</v>
      </c>
      <c r="D40" s="1" t="s">
        <v>18</v>
      </c>
      <c r="E40" s="1" t="s">
        <v>218</v>
      </c>
      <c r="F40" s="1"/>
      <c r="G40" s="1" t="s">
        <v>219</v>
      </c>
      <c r="H40" s="1" t="s">
        <v>220</v>
      </c>
      <c r="I40" s="1">
        <v>53</v>
      </c>
      <c r="J40" s="1">
        <v>1</v>
      </c>
      <c r="K40">
        <f t="shared" si="5"/>
        <v>339</v>
      </c>
      <c r="L40" s="2">
        <f t="shared" si="6"/>
        <v>45896.7090277778</v>
      </c>
      <c r="M40" t="str">
        <f t="shared" si="7"/>
        <v>August</v>
      </c>
      <c r="N40">
        <f t="shared" si="8"/>
        <v>10</v>
      </c>
      <c r="O40">
        <f t="shared" si="9"/>
        <v>4</v>
      </c>
    </row>
    <row r="41" spans="1:15">
      <c r="A41" s="3" t="s">
        <v>221</v>
      </c>
      <c r="B41" s="1" t="s">
        <v>222</v>
      </c>
      <c r="C41" s="1" t="s">
        <v>17</v>
      </c>
      <c r="D41" s="1" t="s">
        <v>18</v>
      </c>
      <c r="E41" s="1" t="s">
        <v>223</v>
      </c>
      <c r="F41" s="1"/>
      <c r="G41" s="1" t="s">
        <v>224</v>
      </c>
      <c r="H41" s="1" t="s">
        <v>225</v>
      </c>
      <c r="I41" s="1">
        <v>67</v>
      </c>
      <c r="J41" s="1">
        <v>1</v>
      </c>
      <c r="K41">
        <f t="shared" si="5"/>
        <v>426</v>
      </c>
      <c r="L41" s="2">
        <f t="shared" si="6"/>
        <v>45895.542037037</v>
      </c>
      <c r="M41" t="str">
        <f t="shared" si="7"/>
        <v>August</v>
      </c>
      <c r="N41">
        <f t="shared" si="8"/>
        <v>6</v>
      </c>
      <c r="O41">
        <f t="shared" si="9"/>
        <v>4</v>
      </c>
    </row>
    <row r="42" spans="1:15">
      <c r="A42" s="3" t="s">
        <v>226</v>
      </c>
      <c r="B42" s="1" t="s">
        <v>227</v>
      </c>
      <c r="C42" s="1" t="s">
        <v>42</v>
      </c>
      <c r="D42" s="1" t="s">
        <v>18</v>
      </c>
      <c r="E42" s="1" t="s">
        <v>228</v>
      </c>
      <c r="F42" s="1"/>
      <c r="G42" s="1" t="s">
        <v>229</v>
      </c>
      <c r="H42" s="1" t="s">
        <v>230</v>
      </c>
      <c r="I42" s="1">
        <v>90</v>
      </c>
      <c r="J42" s="1">
        <v>0</v>
      </c>
      <c r="K42">
        <f t="shared" si="5"/>
        <v>560</v>
      </c>
      <c r="L42" s="2">
        <f t="shared" si="6"/>
        <v>45891.8686111111</v>
      </c>
      <c r="M42" t="str">
        <f t="shared" si="7"/>
        <v>August</v>
      </c>
      <c r="N42">
        <f t="shared" si="8"/>
        <v>13</v>
      </c>
      <c r="O42">
        <f t="shared" si="9"/>
        <v>4</v>
      </c>
    </row>
    <row r="43" spans="1:15">
      <c r="A43" s="3" t="s">
        <v>231</v>
      </c>
      <c r="B43" s="1" t="s">
        <v>232</v>
      </c>
      <c r="C43" s="1" t="s">
        <v>17</v>
      </c>
      <c r="D43" s="1" t="s">
        <v>18</v>
      </c>
      <c r="E43" s="1" t="s">
        <v>233</v>
      </c>
      <c r="F43" s="1"/>
      <c r="G43" s="1" t="s">
        <v>234</v>
      </c>
      <c r="H43" s="1" t="s">
        <v>235</v>
      </c>
      <c r="I43" s="1">
        <v>70</v>
      </c>
      <c r="J43" s="1">
        <v>0</v>
      </c>
      <c r="K43">
        <f t="shared" si="5"/>
        <v>417</v>
      </c>
      <c r="L43" s="2">
        <f t="shared" si="6"/>
        <v>45890.6996875</v>
      </c>
      <c r="M43" t="str">
        <f t="shared" si="7"/>
        <v>August</v>
      </c>
      <c r="N43">
        <f t="shared" si="8"/>
        <v>9</v>
      </c>
      <c r="O43">
        <f t="shared" si="9"/>
        <v>5</v>
      </c>
    </row>
    <row r="44" spans="1:15">
      <c r="A44" s="3" t="s">
        <v>236</v>
      </c>
      <c r="B44" s="1" t="s">
        <v>237</v>
      </c>
      <c r="C44" s="1" t="s">
        <v>42</v>
      </c>
      <c r="D44" s="1" t="s">
        <v>18</v>
      </c>
      <c r="E44" s="1" t="s">
        <v>238</v>
      </c>
      <c r="F44" s="1"/>
      <c r="G44" s="1" t="s">
        <v>239</v>
      </c>
      <c r="H44" s="1" t="s">
        <v>240</v>
      </c>
      <c r="I44" s="1">
        <v>107</v>
      </c>
      <c r="J44" s="1">
        <v>0</v>
      </c>
      <c r="K44">
        <f t="shared" si="5"/>
        <v>587</v>
      </c>
      <c r="L44" s="2">
        <f t="shared" si="6"/>
        <v>45889.7094444444</v>
      </c>
      <c r="M44" t="str">
        <f t="shared" si="7"/>
        <v>August</v>
      </c>
      <c r="N44">
        <f t="shared" si="8"/>
        <v>10</v>
      </c>
      <c r="O44">
        <f t="shared" si="9"/>
        <v>4</v>
      </c>
    </row>
    <row r="45" spans="1:15">
      <c r="A45" s="3" t="s">
        <v>241</v>
      </c>
      <c r="B45" s="1" t="s">
        <v>242</v>
      </c>
      <c r="C45" s="1" t="s">
        <v>17</v>
      </c>
      <c r="D45" s="1" t="s">
        <v>18</v>
      </c>
      <c r="E45" s="1" t="s">
        <v>243</v>
      </c>
      <c r="F45" s="1"/>
      <c r="G45" s="1" t="s">
        <v>244</v>
      </c>
      <c r="H45" s="1" t="s">
        <v>245</v>
      </c>
      <c r="I45" s="1">
        <v>127</v>
      </c>
      <c r="J45" s="1">
        <v>0</v>
      </c>
      <c r="K45">
        <f t="shared" si="5"/>
        <v>562</v>
      </c>
      <c r="L45" s="2">
        <f t="shared" si="6"/>
        <v>45888.8768171296</v>
      </c>
      <c r="M45" t="str">
        <f t="shared" si="7"/>
        <v>August</v>
      </c>
      <c r="N45">
        <f t="shared" si="8"/>
        <v>14</v>
      </c>
      <c r="O45">
        <f t="shared" si="9"/>
        <v>4</v>
      </c>
    </row>
    <row r="46" spans="1:15">
      <c r="A46" s="3" t="s">
        <v>246</v>
      </c>
      <c r="B46" s="1" t="s">
        <v>247</v>
      </c>
      <c r="C46" s="1" t="s">
        <v>17</v>
      </c>
      <c r="D46" s="1" t="s">
        <v>18</v>
      </c>
      <c r="E46" s="1" t="s">
        <v>248</v>
      </c>
      <c r="F46" s="1"/>
      <c r="G46" s="1" t="s">
        <v>249</v>
      </c>
      <c r="H46" s="1" t="s">
        <v>250</v>
      </c>
      <c r="I46" s="1">
        <v>145</v>
      </c>
      <c r="J46" s="1">
        <v>0</v>
      </c>
      <c r="K46">
        <f t="shared" si="5"/>
        <v>378</v>
      </c>
      <c r="L46" s="2">
        <f t="shared" si="6"/>
        <v>45887.9595023148</v>
      </c>
      <c r="M46" t="str">
        <f t="shared" si="7"/>
        <v>August</v>
      </c>
      <c r="N46">
        <f t="shared" si="8"/>
        <v>16</v>
      </c>
      <c r="O46">
        <f t="shared" si="9"/>
        <v>4</v>
      </c>
    </row>
    <row r="47" spans="1:15">
      <c r="A47" s="3" t="s">
        <v>251</v>
      </c>
      <c r="B47" s="1" t="s">
        <v>252</v>
      </c>
      <c r="C47" s="1" t="s">
        <v>42</v>
      </c>
      <c r="D47" s="1" t="s">
        <v>18</v>
      </c>
      <c r="E47" s="1" t="s">
        <v>253</v>
      </c>
      <c r="F47" s="1"/>
      <c r="G47" s="1" t="s">
        <v>254</v>
      </c>
      <c r="H47" s="1" t="s">
        <v>255</v>
      </c>
      <c r="I47" s="1">
        <v>167</v>
      </c>
      <c r="J47" s="1">
        <v>4</v>
      </c>
      <c r="K47">
        <f t="shared" si="5"/>
        <v>274</v>
      </c>
      <c r="L47" s="2">
        <f t="shared" si="6"/>
        <v>45884.5839236111</v>
      </c>
      <c r="M47" t="str">
        <f t="shared" si="7"/>
        <v>August</v>
      </c>
      <c r="N47">
        <f t="shared" si="8"/>
        <v>7</v>
      </c>
      <c r="O47">
        <f t="shared" si="9"/>
        <v>5</v>
      </c>
    </row>
    <row r="48" spans="1:15">
      <c r="A48" s="3" t="s">
        <v>256</v>
      </c>
      <c r="B48" s="1" t="s">
        <v>257</v>
      </c>
      <c r="C48" s="1" t="s">
        <v>17</v>
      </c>
      <c r="D48" s="1" t="s">
        <v>18</v>
      </c>
      <c r="E48" s="1" t="s">
        <v>258</v>
      </c>
      <c r="F48" s="1"/>
      <c r="G48" s="1" t="s">
        <v>259</v>
      </c>
      <c r="H48" s="1" t="s">
        <v>260</v>
      </c>
      <c r="I48" s="1">
        <v>64</v>
      </c>
      <c r="J48" s="1">
        <v>0</v>
      </c>
      <c r="K48">
        <f t="shared" si="5"/>
        <v>582</v>
      </c>
      <c r="L48" s="2">
        <f t="shared" si="6"/>
        <v>45883.8762615741</v>
      </c>
      <c r="M48" t="str">
        <f t="shared" si="7"/>
        <v>August</v>
      </c>
      <c r="N48">
        <f t="shared" si="8"/>
        <v>14</v>
      </c>
      <c r="O48">
        <f t="shared" si="9"/>
        <v>5</v>
      </c>
    </row>
    <row r="49" spans="1:15">
      <c r="A49" s="3" t="s">
        <v>261</v>
      </c>
      <c r="B49" s="1" t="s">
        <v>262</v>
      </c>
      <c r="C49" s="1" t="s">
        <v>42</v>
      </c>
      <c r="D49" s="1" t="s">
        <v>18</v>
      </c>
      <c r="E49" s="1" t="s">
        <v>263</v>
      </c>
      <c r="F49" s="1"/>
      <c r="G49" s="1" t="s">
        <v>264</v>
      </c>
      <c r="H49" s="1" t="s">
        <v>265</v>
      </c>
      <c r="I49" s="1">
        <v>82</v>
      </c>
      <c r="J49" s="1">
        <v>2</v>
      </c>
      <c r="K49">
        <f t="shared" si="5"/>
        <v>875</v>
      </c>
      <c r="L49" s="2">
        <f t="shared" si="6"/>
        <v>45882.7097916667</v>
      </c>
      <c r="M49" t="str">
        <f t="shared" si="7"/>
        <v>August</v>
      </c>
      <c r="N49">
        <f t="shared" si="8"/>
        <v>10</v>
      </c>
      <c r="O49">
        <f t="shared" si="9"/>
        <v>9</v>
      </c>
    </row>
    <row r="50" spans="1:15">
      <c r="A50" s="3" t="s">
        <v>266</v>
      </c>
      <c r="B50" s="1" t="s">
        <v>262</v>
      </c>
      <c r="C50" s="1" t="s">
        <v>42</v>
      </c>
      <c r="D50" s="1" t="s">
        <v>18</v>
      </c>
      <c r="E50" s="1" t="s">
        <v>267</v>
      </c>
      <c r="F50" s="1"/>
      <c r="G50" s="1" t="s">
        <v>268</v>
      </c>
      <c r="H50" s="1" t="s">
        <v>269</v>
      </c>
      <c r="I50" s="1">
        <v>124</v>
      </c>
      <c r="J50" s="1">
        <v>4</v>
      </c>
      <c r="K50">
        <f t="shared" si="5"/>
        <v>875</v>
      </c>
      <c r="L50" s="2">
        <f t="shared" si="6"/>
        <v>45882.709375</v>
      </c>
      <c r="M50" t="str">
        <f t="shared" si="7"/>
        <v>August</v>
      </c>
      <c r="N50">
        <f t="shared" si="8"/>
        <v>10</v>
      </c>
      <c r="O50">
        <f t="shared" si="9"/>
        <v>9</v>
      </c>
    </row>
    <row r="51" spans="1:15">
      <c r="A51" s="3" t="s">
        <v>270</v>
      </c>
      <c r="B51" s="1" t="s">
        <v>271</v>
      </c>
      <c r="C51" s="1" t="s">
        <v>17</v>
      </c>
      <c r="D51" s="1" t="s">
        <v>18</v>
      </c>
      <c r="E51" s="1" t="s">
        <v>272</v>
      </c>
      <c r="F51" s="1"/>
      <c r="G51" s="1" t="s">
        <v>273</v>
      </c>
      <c r="H51" s="1" t="s">
        <v>274</v>
      </c>
      <c r="I51" s="1">
        <v>175</v>
      </c>
      <c r="J51" s="1">
        <v>0</v>
      </c>
      <c r="K51">
        <f t="shared" si="5"/>
        <v>435</v>
      </c>
      <c r="L51" s="2">
        <f t="shared" si="6"/>
        <v>45881.6460763889</v>
      </c>
      <c r="M51" t="str">
        <f t="shared" si="7"/>
        <v>August</v>
      </c>
      <c r="N51">
        <f t="shared" si="8"/>
        <v>8</v>
      </c>
      <c r="O51">
        <f t="shared" si="9"/>
        <v>5</v>
      </c>
    </row>
  </sheetData>
  <autoFilter xmlns:etc="http://www.wps.cn/officeDocument/2017/etCustomData" ref="A1:J5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BC_data_media_output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ikawahyuni</cp:lastModifiedBy>
  <dcterms:created xsi:type="dcterms:W3CDTF">2025-11-30T16:12:44Z</dcterms:created>
  <dcterms:modified xsi:type="dcterms:W3CDTF">2025-11-30T16:34:02Z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1033-12.1.23152.23152</vt:lpwstr>
  </property>
  <property fmtid="{D5CDD505-2E9C-101B-9397-08002B2CF9AE}" pid="3" name="ICV">
    <vt:lpwstr>B1C2716441DB701F1A0D2C69A8AE6584_43</vt:lpwstr>
  </property>
</Properties>
</file>